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
<Relationships xmlns="http://schemas.openxmlformats.org/package/2006/relationships">
  <Relationship Id="rId1" Type="http://schemas.openxmlformats.org/officeDocument/2006/relationships/officeDocument" Target="xl/workbook.xml" />
  <Relationship Id="rId3" Type="http://schemas.openxmlformats.org/package/2006/relationships/metadata/core-properties" Target="docProps/core.xml" />
  <Relationship Id="rId4" Type="http://schemas.openxmlformats.org/officeDocument/2006/relationships/extended-properties" Target="docProps/app.xml" 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bookViews>
    <workbookView xWindow="-120" yWindow="-120" windowWidth="20640" windowHeight="11160"/>
  </bookViews>
  <sheets>
    <sheet name="VENTAS " sheetId="2" r:id="rId1"/>
    <sheet name="CUMPLIMIENTO" sheetId="3" r:id="rId2"/>
  </sheets>
  <definedNames>
    <definedName name="_xlnm._FilterDatabase" localSheetId="0" hidden="1"><![CDATA['VENTAS '!$B$3:$K$103]]></definedName>
  </definedName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<sst xmlns="http://schemas.openxmlformats.org/spreadsheetml/2006/main" count="791" uniqueCount="227">
  <si>
    <t xml:space="preserve">TOTAL </t>
  </si>
  <si>
    <t xml:space="preserve">FACTURA</t>
  </si>
  <si>
    <t xml:space="preserve">NUMERO</t>
  </si>
  <si>
    <t xml:space="preserve">FECHA</t>
  </si>
  <si>
    <t xml:space="preserve">NOMBRE</t>
  </si>
  <si>
    <t xml:space="preserve">PLAZO</t>
  </si>
  <si>
    <t xml:space="preserve">VALOR_BRUT</t>
  </si>
  <si>
    <t xml:space="preserve">DETALLE</t>
  </si>
  <si>
    <t xml:space="preserve">LINEA</t>
  </si>
  <si>
    <t xml:space="preserve">VENDEDOR</t>
  </si>
  <si>
    <t xml:space="preserve">EMPAQUE</t>
  </si>
  <si>
    <t/>
  </si>
  <si>
    <t/>
  </si>
  <si>
    <t/>
  </si>
  <si>
    <t/>
  </si>
  <si>
    <t xml:space="preserve">PUBLICOMERCIAL</t>
  </si>
  <si>
    <t/>
  </si>
  <si>
    <t/>
  </si>
  <si>
    <t xml:space="preserve">DIGITAL</t>
  </si>
  <si>
    <t xml:space="preserve">EJECUTIVOS COMERCIALES LEC</t>
  </si>
  <si>
    <t xml:space="preserve">PROMOCIONALES</t>
  </si>
  <si>
    <t xml:space="preserve">VENTA ROLLOS PT</t>
  </si>
  <si>
    <t xml:space="preserve">EDITORIAL</t>
  </si>
  <si>
    <t xml:space="preserve">ROLLOS CHANCE </t>
  </si>
  <si>
    <t xml:space="preserve">TOTAL VENTAS</t>
  </si>
  <si>
    <t xml:space="preserve">META </t>
  </si>
  <si>
    <t xml:space="preserve">CUMPLIMIENTO</t>
  </si>
  <si>
    <t/>
  </si>
  <si>
    <t xml:space="preserve">EJECUTIVOS COMERCIALES FREELANCE</t>
  </si>
  <si>
    <t/>
  </si>
  <si>
    <t/>
  </si>
  <si>
    <t/>
  </si>
  <si>
    <t xml:space="preserve">VENTA EMPRESARIAL </t>
  </si>
  <si>
    <t/>
  </si>
  <si>
    <t xml:space="preserve">TOTAL VENTA </t>
  </si>
  <si>
    <t xml:space="preserve">DIFERENCIA</t>
  </si>
  <si>
    <t xml:space="preserve">VENTA DE LITOGRAFIA </t>
  </si>
  <si>
    <t xml:space="preserve">VENTA ROLLOS CHANCE </t>
  </si>
  <si>
    <t xml:space="preserve">TOTAL</t>
  </si>
  <si>
    <t xml:space="preserve">VENTAS </t>
  </si>
  <si>
    <t xml:space="preserve">CUMPLIMIENTO </t>
  </si>
  <si>
    <t xml:space="preserve">FALTA </t>
  </si>
  <si>
    <t xml:space="preserve">NUMERO OP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</si>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</sst>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_-;\-* #,##0_-;_-* &quot;-&quot;??_-;_-@_-"/>
    <numFmt numFmtId="166" formatCode="_-[$$-240A]\ * #,##0_-;\-[$$-240A]\ * #,##0_-;_-[$$-240A]\ * &quot;-&quot;??_-;_-@_-"/>
    <numFmt numFmtId="167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2"/>
      <name val="Arial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Century Gothic"/>
      <family val="2"/>
    </font>
    <font>
      <b/>
      <sz val="12"/>
      <name val="Century Gothic"/>
      <family val="2"/>
    </font>
    <font>
      <sz val="10"/>
      <color rgb="FFFF0000"/>
      <name val="Arial"/>
      <family val="2"/>
    </font>
    <font>
      <sz val="8"/>
      <color theme="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/>
    <xf numFmtId="9" fontId="2" fillId="0" borderId="0"/>
    <xf numFmtId="164" fontId="2" fillId="0" borderId="0"/>
  </cellStyleXfs>
  <cellXfs count="101">
    <xf numFmtId="0" fontId="0" fillId="0" borderId="0" xfId="0"/>
    <xf numFmtId="1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65" fontId="12" fillId="2" borderId="1" xfId="1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165" fontId="12" fillId="2" borderId="0" xfId="0" applyNumberFormat="1" applyFont="1" applyFill="1" applyAlignment="1">
      <alignment vertical="center"/>
    </xf>
    <xf numFmtId="165" fontId="13" fillId="0" borderId="0" xfId="1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1" fontId="13" fillId="0" borderId="1" xfId="0" applyNumberFormat="1" applyFont="1" applyBorder="1" applyAlignment="1">
      <alignment vertical="center"/>
    </xf>
    <xf numFmtId="165" fontId="13" fillId="0" borderId="1" xfId="1" applyNumberFormat="1" applyFont="1" applyFill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165" fontId="14" fillId="3" borderId="1" xfId="0" applyNumberFormat="1" applyFont="1" applyFill="1" applyBorder="1" applyAlignment="1">
      <alignment vertical="center"/>
    </xf>
    <xf numFmtId="9" fontId="14" fillId="3" borderId="1" xfId="2" applyFont="1" applyFill="1" applyBorder="1" applyAlignment="1">
      <alignment horizontal="center" vertical="center"/>
    </xf>
    <xf numFmtId="165" fontId="13" fillId="0" borderId="0" xfId="1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1" fontId="13" fillId="0" borderId="0" xfId="0" applyNumberFormat="1" applyFont="1" applyAlignment="1">
      <alignment vertical="center"/>
    </xf>
    <xf numFmtId="165" fontId="13" fillId="0" borderId="0" xfId="1" applyNumberFormat="1" applyFont="1"/>
    <xf numFmtId="1" fontId="13" fillId="0" borderId="0" xfId="0" applyNumberFormat="1" applyFont="1"/>
    <xf numFmtId="165" fontId="13" fillId="0" borderId="0" xfId="0" applyNumberFormat="1" applyFont="1"/>
    <xf numFmtId="1" fontId="12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5" fontId="14" fillId="5" borderId="1" xfId="0" applyNumberFormat="1" applyFont="1" applyFill="1" applyBorder="1" applyAlignment="1">
      <alignment vertical="center"/>
    </xf>
    <xf numFmtId="1" fontId="12" fillId="2" borderId="1" xfId="0" applyNumberFormat="1" applyFont="1" applyFill="1" applyBorder="1"/>
    <xf numFmtId="166" fontId="13" fillId="0" borderId="1" xfId="3" applyNumberFormat="1" applyFont="1" applyBorder="1"/>
    <xf numFmtId="9" fontId="14" fillId="0" borderId="1" xfId="2" applyFont="1" applyBorder="1"/>
    <xf numFmtId="166" fontId="14" fillId="0" borderId="1" xfId="2" applyNumberFormat="1" applyFont="1" applyBorder="1"/>
    <xf numFmtId="1" fontId="10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horizontal="center" vertical="center" wrapText="1"/>
    </xf>
    <xf numFmtId="165" fontId="1" fillId="0" borderId="0" xfId="1" applyNumberFormat="1" applyFont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4" borderId="0" xfId="0" applyFont="1" applyFill="1" applyAlignment="1">
      <alignment vertical="center" wrapText="1"/>
    </xf>
    <xf numFmtId="165" fontId="7" fillId="2" borderId="1" xfId="1" applyNumberFormat="1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vertical="center" wrapText="1"/>
    </xf>
    <xf numFmtId="1" fontId="13" fillId="0" borderId="2" xfId="0" applyNumberFormat="1" applyFont="1" applyBorder="1" applyAlignment="1">
      <alignment vertical="center"/>
    </xf>
    <xf numFmtId="165" fontId="13" fillId="0" borderId="3" xfId="1" applyNumberFormat="1" applyFont="1" applyFill="1" applyBorder="1" applyAlignment="1">
      <alignment vertical="center"/>
    </xf>
    <xf numFmtId="1" fontId="13" fillId="0" borderId="4" xfId="0" applyNumberFormat="1" applyFont="1" applyBorder="1" applyAlignment="1">
      <alignment vertical="center"/>
    </xf>
    <xf numFmtId="1" fontId="12" fillId="2" borderId="5" xfId="0" applyNumberFormat="1" applyFont="1" applyFill="1" applyBorder="1" applyAlignment="1">
      <alignment vertical="center" wrapText="1"/>
    </xf>
    <xf numFmtId="1" fontId="13" fillId="0" borderId="1" xfId="0" applyNumberFormat="1" applyFont="1" applyBorder="1" applyAlignment="1">
      <alignment horizontal="left" vertical="center"/>
    </xf>
    <xf numFmtId="167" fontId="0" fillId="0" borderId="0" xfId="3" applyNumberFormat="1" applyFont="1" applyFill="1" applyBorder="1" applyAlignment="1">
      <alignment horizontal="right" vertical="center"/>
    </xf>
    <xf numFmtId="167" fontId="13" fillId="0" borderId="0" xfId="3" applyNumberFormat="1" applyFont="1" applyFill="1" applyBorder="1"/>
    <xf numFmtId="9" fontId="13" fillId="0" borderId="0" xfId="2" applyFont="1" applyFill="1" applyBorder="1"/>
    <xf numFmtId="0" fontId="6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15" fillId="0" borderId="1" xfId="0" applyNumberFormat="1" applyFont="1" applyBorder="1" applyAlignment="1">
      <alignment vertical="center"/>
    </xf>
    <xf numFmtId="14" fontId="15" fillId="0" borderId="1" xfId="0" applyNumberFormat="1" applyFont="1" applyBorder="1" applyAlignment="1">
      <alignment horizontal="right" vertical="center"/>
    </xf>
    <xf numFmtId="165" fontId="10" fillId="0" borderId="1" xfId="1" applyNumberFormat="1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vertical="center" wrapText="1"/>
    </xf>
    <xf numFmtId="165" fontId="1" fillId="0" borderId="1" xfId="1" applyNumberFormat="1" applyFont="1" applyFill="1" applyBorder="1" applyAlignment="1">
      <alignment vertical="center" wrapText="1"/>
    </xf>
    <xf numFmtId="165" fontId="14" fillId="0" borderId="1" xfId="1" applyNumberFormat="1" applyFont="1" applyFill="1" applyBorder="1" applyAlignment="1">
      <alignment vertical="center"/>
    </xf>
    <xf numFmtId="1" fontId="9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43" fontId="9" fillId="0" borderId="1" xfId="1" applyFont="1" applyFill="1" applyBorder="1" applyAlignment="1">
      <alignment horizontal="center" vertical="center" wrapText="1"/>
    </xf>
    <xf numFmtId="165" fontId="1" fillId="6" borderId="1" xfId="1" applyNumberFormat="1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8" fillId="0" borderId="0" xfId="0" applyFont="1"/>
    <xf numFmtId="166" fontId="19" fillId="0" borderId="1" xfId="3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0000"/>
      <color rgb="FFFF330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theme" Target="theme/theme1.xml" />
  <Relationship Id="rId4" Type="http://schemas.openxmlformats.org/officeDocument/2006/relationships/styles" Target="styles.xml" />
  <Relationship Id="rId5" Type="http://schemas.openxmlformats.org/officeDocument/2006/relationships/sharedStrings" Target="sharedStrings.xml" />
</Relationships>
</file>

<file path=xl/charts/_rels/chart1.xml.rels>&#65279;<?xml version="1.0" encoding="utf-8" standalone="yes"?>
<Relationships xmlns="http://schemas.openxmlformats.org/package/2006/relationships">
  <Relationship Id="rId2" Type="http://schemas.microsoft.com/office/2011/relationships/chartColorStyle" Target="colors1.xml" />
  <Relationship Id="rId1" Type="http://schemas.microsoft.com/office/2011/relationships/chartStyle" Target="style1.xml" />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254012044114922"/>
          <c:y val="8.4049689228585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6394404199829968E-2"/>
          <c:y val="0.21807416138284952"/>
          <c:w val="0.91822561702104477"/>
          <c:h val="0.52050418591263459"/>
        </c:manualLayout>
      </c:layout>
      <c:pie3DChart>
        <c:varyColors val="1"/>
        <c:ser>
          <c:idx val="0"/>
          <c:order val="0"/>
          <c:tx>
            <c:strRef>
              <c:f>CUMPLIMIENTO!$B$2</c:f>
              <c:strCache>
                <c:ptCount val="0"/>
              </c:strCache>
            </c:strRef>
          </c:tx>
          <c:dPt>
            <c:idx val="0"/>
            <c:bubble3D val="0"/>
            <c:explosion val="3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CB2-44F8-86BE-58D7EC6AE2F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7CB2-44F8-86BE-58D7EC6AE2F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7CB2-44F8-86BE-58D7EC6AE2F6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DC7F-4898-9155-372908859B0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7041B70-04BE-4C00-B8EC-8FB003204B5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/>
                    </a:r>
                    <a:fld id="{9AA2709B-F9DB-4E89-80FA-E77E50C66E8E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/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CB2-44F8-86BE-58D7EC6AE2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0300AA-7B14-4509-B177-EE950CBD045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/>
                    </a:r>
                    <a:fld id="{A6F8CA08-2C99-46CB-B637-0E3D9A8B8F85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CB2-44F8-86BE-58D7EC6AE2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AAD8BC-E1BE-4B54-B141-51646B1F652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/>
                    </a:r>
                    <a:fld id="{1381A435-1FBD-44AF-9C28-89A6776C2DD0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/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CB2-44F8-86BE-58D7EC6AE2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F06B06-CB78-49C8-B96D-065D92735843}" type="VALUE">
                      <a:rPr lang="en-US"/>
                      <a:pPr/>
                      <a:t>[VALOR]</a:t>
                    </a:fld>
                    <a:r>
                      <a:rPr lang="en-US" baseline="0"/>
                      <a:t/>
                    </a:r>
                    <a:fld id="{06F1AE0C-F911-4AB1-B938-16EE67DDBFE3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7F-4898-9155-372908859B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CUMPLIMIENTO!$B$3:$B$6</c:f>
              <c:strCache>
                <c:ptCount val="0"/>
              </c:strCache>
            </c:strRef>
          </c:cat>
          <c:val>
            <c:numRef>
              <c:f>CUMPLIMIENTO!$L$3:$L$6</c:f>
              <c:numCache>
                <c:formatCode>0%</c:formatCode>
                <c:ptCount val="0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CUMPLIMIENTO!$J$3:$J$5</c15:f>
                <c15:dlblRangeCache>
                  <c:ptCount val="0"/>
                </c15:dlblRangeCache>
              </c15:datalabelsRange>
            </c:ext>
            <c:ext xmlns:c16="http://schemas.microsoft.com/office/drawing/2014/chart" uri="{C3380CC4-5D6E-409C-BE32-E72D297353CC}">
              <c16:uniqueId val="{00000002-7CB2-44F8-86BE-58D7EC6AE2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c:spPr>
    </c:plotArea>
    <c:legend>
      <c:legendPos val="b"/>
      <c:layout>
        <c:manualLayout>
          <c:xMode val="edge"/>
          <c:yMode val="edge"/>
          <c:x val="0.10306062175593045"/>
          <c:y val="0.81315135281169959"/>
          <c:w val="0.78167090598204059"/>
          <c:h val="8.5777832694921535E-2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63500" dist="50800" dir="8100000">
        <a:prstClr val="black">
          <a:alpha val="50000"/>
        </a:prstClr>
      </a:inn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&#65279;<?xml version="1.0" encoding="utf-8"?>
<Relationships xmlns="http://schemas.openxmlformats.org/package/2006/relationships">
  <Relationship Id="rId1" Type="http://schemas.openxmlformats.org/officeDocument/2006/relationships/chart" Target="../charts/chart1.xml" />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1012031</xdr:colOff>
      <xdr:row>24</xdr:row>
      <xdr:rowOff>35718</xdr:rowOff>
    </xdr:from>
    <xdr:to>
      <xdr:col>10</xdr:col>
      <xdr:colOff>595312</xdr:colOff>
      <xdr:row>38</xdr:row>
      <xdr:rowOff>202406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3D9676-ACE8-4F6E-9398-AFAC4EDE5806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?>
<Relationships xmlns="http://schemas.openxmlformats.org/package/2006/relationships" />
</file>

<file path=xl/worksheets/_rels/sheet2.xml.rels>&#65279;<?xml version="1.0" encoding="utf-8"?>
<Relationships xmlns="http://schemas.openxmlformats.org/package/2006/relationships">
  <Relationship Id="rId1" Type="http://schemas.openxmlformats.org/officeDocument/2006/relationships/drawing" Target="../drawings/drawing1.xml" />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1"/>
  <dimension ref="B1:L4"/>
  <sheetViews>
    <sheetView showGridLines="0" tabSelected="1" zoomScale="90" zoomScaleNormal="90" workbookViewId="0">
      <pane xSplit="2" ySplit="3" topLeftCell="C94" activePane="bottomRight" state="frozen"/>
      <selection pane="topRight" activeCell="C1" sqref="C1"/>
      <selection pane="bottomLeft" activeCell="A4" sqref="A4"/>
      <selection pane="bottomRight" activeCell="B113" sqref="B113"/>
    </sheetView>
  </sheetViews>
  <sheetFormatPr baseColWidth="10" defaultColWidth="11.42578125" defaultRowHeight="15" x14ac:dyDescent="0.25"/>
  <cols>
    <col min="1" max="1" width="2.42578125" style="2" customWidth="1"/>
    <col min="2" max="2" width="49.42578125" style="34" customWidth="1"/>
    <col min="3" max="3" width="36.42578125" style="34" customWidth="1"/>
    <col min="4" max="4" width="13" style="61" customWidth="1"/>
    <col min="5" max="5" width="15.140625" style="2" customWidth="1"/>
    <col min="6" max="6" width="57.5703125" style="2" customWidth="1"/>
    <col min="7" max="7" width="12.7109375" style="36" customWidth="1"/>
    <col min="8" max="8" width="19.42578125" style="37" customWidth="1"/>
    <col min="9" max="9" width="51.28515625" style="2" customWidth="1"/>
    <col min="10" max="10" width="15.85546875" style="34" customWidth="1"/>
    <col min="11" max="11" width="37.28515625" style="38" customWidth="1"/>
    <col min="12" max="12" width="11.42578125" style="39"/>
    <col min="13" max="17" width="11.42578125" style="2"/>
  </cols>
  <sheetData>
    <row r="1" spans="2:18" ht="15.75" customHeight="1" x14ac:dyDescent="0.25">
      <c r="D1" s="35"/>
    </row>
    <row r="2" spans="2:18" ht="21.75" customHeight="1" x14ac:dyDescent="0.25">
      <c r="D2" s="35"/>
      <c r="F2" s="40" t="s">
        <v>0</v>
      </c>
      <c r="H2" s="41">
        <f>SUBTOTAL(9,H4:H1048576)</f>
      </c>
      <c r="I2" s="33"/>
    </row>
    <row r="3" spans="2:18" ht="68.25" customHeight="1" x14ac:dyDescent="0.25">
      <c r="B3" s="43" t="s">
        <v>42</v>
      </c>
      <c r="C3" s="1" t="s">
        <v>1</v>
      </c>
      <c r="D3" s="42" t="s">
        <v>2</v>
      </c>
      <c r="E3" s="43" t="s">
        <v>3</v>
      </c>
      <c r="F3" s="1" t="s">
        <v>4</v>
      </c>
      <c r="G3" s="44" t="s">
        <v>5</v>
      </c>
      <c r="H3" s="45" t="s">
        <v>6</v>
      </c>
      <c r="I3" s="1" t="s">
        <v>7</v>
      </c>
      <c r="J3" s="1" t="s">
        <v>8</v>
      </c>
      <c r="K3" s="1" t="s">
        <v>9</v>
      </c>
    </row>
    <row r="4">
      <c r="B4" s="51" t="s">
        <v>226</v>
      </c>
      <c r="C4" s="51" t="s">
        <v>226</v>
      </c>
      <c r="D4" s="88" t="s">
        <v>226</v>
      </c>
      <c r="E4" s="48" t="s">
        <v>226</v>
      </c>
      <c r="F4" s="4" t="s">
        <v>226</v>
      </c>
      <c r="G4" s="58" t="s">
        <v>226</v>
      </c>
      <c r="H4" s="59" t="s">
        <v>226</v>
      </c>
      <c r="I4" s="4" t="s">
        <v>226</v>
      </c>
      <c r="J4" s="88" t="s">
        <v>226</v>
      </c>
      <c r="K4" s="32" t="s">
        <v>226</v>
      </c>
    </row>
  </sheetData>
  <phoneticPr fontId="8" type="noConversion"/>
  <pageMargins left="0.7086614173228347" right="0.7086614173228347" top="0.7480314960629921" bottom="0.7480314960629921" header="0.31496062992125984" footer="0.31496062992125984"/>
  <pageSetup scale="60" orientation="landscape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2"/>
  <dimension ref="B2:M50"/>
  <sheetViews>
    <sheetView showGridLines="0" topLeftCell="A14" zoomScale="80" zoomScaleNormal="80" workbookViewId="0">
      <selection activeCell="B4" sqref="B4"/>
    </sheetView>
  </sheetViews>
  <sheetFormatPr baseColWidth="10" defaultColWidth="11.42578125" defaultRowHeight="17.25" x14ac:dyDescent="0.3"/>
  <cols>
    <col min="1" max="1" width="3.140625" style="11" customWidth="1"/>
    <col min="2" max="2" width="41.85546875" style="11" customWidth="1"/>
    <col min="3" max="3" width="21.28515625" style="11" customWidth="1"/>
    <col min="4" max="4" width="16" style="11" bestFit="1" customWidth="1"/>
    <col min="5" max="5" width="17.42578125" style="11" customWidth="1"/>
    <col min="6" max="6" width="22.28515625" style="11" customWidth="1"/>
    <col min="7" max="7" width="16.5703125" style="11" customWidth="1"/>
    <col min="8" max="8" width="14.140625" style="11" customWidth="1"/>
    <col min="9" max="9" width="19.7109375" style="11" customWidth="1"/>
    <col min="10" max="10" width="20.140625" style="11" customWidth="1"/>
    <col min="11" max="11" width="21.42578125" style="22" customWidth="1"/>
    <col min="12" max="12" width="20.42578125" style="11" customWidth="1"/>
  </cols>
  <sheetData>
    <row r="2" spans="2:12" s="12" customFormat="1" ht="38.25" customHeight="1" x14ac:dyDescent="0.25">
      <c r="B2" s="5" t="s">
        <v>19</v>
      </c>
      <c r="C2" s="5" t="s">
        <v>15</v>
      </c>
      <c r="D2" s="5" t="s">
        <v>10</v>
      </c>
      <c r="E2" s="5" t="s">
        <v>18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6" t="s">
        <v>25</v>
      </c>
      <c r="L2" s="5" t="s">
        <v>26</v>
      </c>
    </row>
    <row r="3" spans="2:12" s="10" customFormat="1" ht="20.25" customHeight="1" x14ac:dyDescent="0.25">
      <c r="B3" s="13" t="s">
        <v>226</v>
      </c>
      <c r="C3" s="14">
        <f>SUMIFS('VENTAS '!$H$4:$H$861,'VENTAS '!$K$4:$K$861,CUMPLIMIENTO!B3)-SUMIFS('VENTAS '!$H$4:$H$861,'VENTAS '!$K$4:$K$861,CUMPLIMIENTO!B3,'VENTAS '!$J$4:$J$861,"BOND")-SUMIFS('VENTAS '!$H$4:$H$861,'VENTAS '!$K$4:$K$861,CUMPLIMIENTO!B3,'VENTAS '!$J$4:$J$861,"ROLLOS PT")-SUMIFS('VENTAS '!$H$4:$H$861,'VENTAS '!$K$4:$K$861,CUMPLIMIENTO!B3,'VENTAS '!$J$4:$J$861,"DIGITAL")-SUMIFS('VENTAS '!$H$4:$H$861,'VENTAS '!$K$4:$K$861,CUMPLIMIENTO!B3,'VENTAS '!$J$4:$J$861,"PROMOCIONALES")-SUMIFS('VENTAS '!$H$4:$H$861,'VENTAS '!$K$4:$K$861,CUMPLIMIENTO!B3,'VENTAS '!$J$4:$J$861,"EMPAQUE")-SUMIFS('VENTAS '!$H$4:$H$861,'VENTAS '!$K$4:$K$861,CUMPLIMIENTO!B3,'VENTAS '!$J$4:$J$861,"EDITORIAL")-SUMIFS('VENTAS '!$H$4:$H$861,'VENTAS '!$K$4:$K$861,CUMPLIMIENTO!B3,'VENTAS '!$J$4:$J$861,"TERMICO")</f>
      </c>
      <c r="D3" s="15">
        <f>SUMIFS('VENTAS '!$H$4:$H$861,'VENTAS '!$K$4:$K$861,CUMPLIMIENTO!B3)-SUMIFS('VENTAS '!$H$4:$H$861,'VENTAS '!$K$4:$K$861,CUMPLIMIENTO!B3,'VENTAS '!$J$4:$J$861,"BOND")-SUMIFS('VENTAS '!$H$4:$H$861,'VENTAS '!$K$4:$K$861,CUMPLIMIENTO!B3,'VENTAS '!$J$4:$J$861,"ROLLOS PT")-SUMIFS('VENTAS '!$H$4:$H$861,'VENTAS '!$K$4:$K$861,CUMPLIMIENTO!B3,'VENTAS '!$J$4:$J$861,"DIGITAL")-SUMIFS('VENTAS '!$H$4:$H$861,'VENTAS '!$K$4:$K$861,CUMPLIMIENTO!B3,'VENTAS '!$J$4:$J$861,"PROMOCIONALES")-SUMIFS('VENTAS '!$H$4:$H$861,'VENTAS '!$K$4:$K$861,CUMPLIMIENTO!B3,'VENTAS '!$J$4:$J$861,"PUBLICOMERCIAL")-SUMIFS('VENTAS '!$H$4:$H$861,'VENTAS '!$K$4:$K$861,CUMPLIMIENTO!B3,'VENTAS '!$J$4:$J$861,"EDITORIAL")-SUMIFS('VENTAS '!$H$4:$H$861,'VENTAS '!$K$4:$K$861,CUMPLIMIENTO!B3,'VENTAS '!$J$4:$J$861,"TERMICO")</f>
      </c>
      <c r="E3" s="15">
        <f>SUMIFS('VENTAS '!$H$4:$H$861,'VENTAS '!$K$4:$K$861,CUMPLIMIENTO!B3)-SUMIFS('VENTAS '!$H$4:$H$861,'VENTAS '!$K$4:$K$861,CUMPLIMIENTO!B3,'VENTAS '!$J$4:$J$861,"BOND")-SUMIFS('VENTAS '!$H$4:$H$861,'VENTAS '!$K$4:$K$861,CUMPLIMIENTO!B3,'VENTAS '!$J$4:$J$861,"ROLLOS PT")-SUMIFS('VENTAS '!$H$4:$H$861,'VENTAS '!$K$4:$K$861,CUMPLIMIENTO!B3,'VENTAS '!$J$4:$J$861,"EMPAQUE")-SUMIFS('VENTAS '!$H$4:$H$861,'VENTAS '!$K$4:$K$861,CUMPLIMIENTO!B3,'VENTAS '!$J$4:$J$861,"PROMOCIONALES")-SUMIFS('VENTAS '!$H$4:$H$861,'VENTAS '!$K$4:$K$861,CUMPLIMIENTO!B3,'VENTAS '!$J$4:$J$861,"PUBLICOMERCIAL")-SUMIFS('VENTAS '!$H$4:$H$861,'VENTAS '!$K$4:$K$861,CUMPLIMIENTO!B3,'VENTAS '!$J$4:$J$861,"EDITORIAL")-SUMIFS('VENTAS '!$H$4:$H$861,'VENTAS '!$K$4:$K$861,CUMPLIMIENTO!B3,'VENTAS '!$J$4:$J$861,"TERMICO")</f>
      </c>
      <c r="F3" s="15">
        <f>SUMIFS('VENTAS '!$H$4:$H$861,'VENTAS '!$K$4:$K$861,CUMPLIMIENTO!B3)-SUMIFS('VENTAS '!$H$4:$H$861,'VENTAS '!$K$4:$K$861,CUMPLIMIENTO!B3,'VENTAS '!$J$4:$J$861,"BOND")-SUMIFS('VENTAS '!$H$4:$H$861,'VENTAS '!$K$4:$K$861,CUMPLIMIENTO!B3,'VENTAS '!$J$4:$J$861,"ROLLOS PT")-SUMIFS('VENTAS '!$H$4:$H$861,'VENTAS '!$K$4:$K$861,CUMPLIMIENTO!B3,'VENTAS '!$J$4:$J$861,"EMPAQUE")-SUMIFS('VENTAS '!$H$4:$H$861,'VENTAS '!$K$4:$K$861,CUMPLIMIENTO!B3,'VENTAS '!$J$4:$J$861,"DIGITAL")-SUMIFS('VENTAS '!$H$4:$H$861,'VENTAS '!$K$4:$K$861,CUMPLIMIENTO!B3,'VENTAS '!$J$4:$J$861,"PUBLICOMERCIAL")-SUMIFS('VENTAS '!$H$4:$H$861,'VENTAS '!$K$4:$K$861,CUMPLIMIENTO!B3,'VENTAS '!$J$4:$J$861,"EDITORIAL")-SUMIFS('VENTAS '!$H$4:$H$861,'VENTAS '!$K$4:$K$861,CUMPLIMIENTO!B3,'VENTAS '!$J$4:$J$861,"TERMICO")</f>
      </c>
      <c r="G3" s="15">
        <f>SUMIFS('VENTAS '!$H$4:$H$861,'VENTAS '!$K$4:$K$861,CUMPLIMIENTO!B3)-SUMIFS('VENTAS '!$H$4:$H$861,'VENTAS '!$K$4:$K$861,CUMPLIMIENTO!B3,'VENTAS '!$J$4:$J$861,"BOND")-SUMIFS('VENTAS '!$H$4:$H$861,'VENTAS '!$K$4:$K$861,CUMPLIMIENTO!B3,'VENTAS '!$J$4:$J$861,"PROMOCIONALES")-SUMIFS('VENTAS '!$H$4:$H$861,'VENTAS '!$K$4:$K$861,CUMPLIMIENTO!B3,'VENTAS '!$J$4:$J$861,"EMPAQUE")-SUMIFS('VENTAS '!$H$4:$H$861,'VENTAS '!$K$4:$K$861,CUMPLIMIENTO!B3,'VENTAS '!$J$4:$J$861,"DIGITAL")-SUMIFS('VENTAS '!$H$4:$H$861,'VENTAS '!$K$4:$K$861,CUMPLIMIENTO!B3,'VENTAS '!$J$4:$J$861,"PUBLICOMERCIAL")-SUMIFS('VENTAS '!$H$4:$H$861,'VENTAS '!$K$4:$K$861,CUMPLIMIENTO!B3,'VENTAS '!$J$4:$J$861,"EDITORIAL")-SUMIFS('VENTAS '!$H$4:$H$861,'VENTAS '!$K$4:$K$861,CUMPLIMIENTO!B3,'VENTAS '!$J$4:$J$861,"TERMICO")</f>
      </c>
      <c r="H3" s="15">
        <f>SUMIFS('VENTAS '!$H$4:$H$861,'VENTAS '!$K$4:$K$861,CUMPLIMIENTO!B3)-SUMIFS('VENTAS '!$H$4:$H$861,'VENTAS '!$K$4:$K$861,CUMPLIMIENTO!B3,'VENTAS '!$J$4:$J$861,"BOND")-SUMIFS('VENTAS '!$H$4:$H$861,'VENTAS '!$K$4:$K$861,CUMPLIMIENTO!B3,'VENTAS '!$J$4:$J$861,"PROMOCIONALES")-SUMIFS('VENTAS '!$H$4:$H$861,'VENTAS '!$K$4:$K$861,CUMPLIMIENTO!B3,'VENTAS '!$J$4:$J$861,"EMPAQUE")-SUMIFS('VENTAS '!$H$4:$H$861,'VENTAS '!$K$4:$K$861,CUMPLIMIENTO!B3,'VENTAS '!$J$4:$J$861,"DIGITAL")-SUMIFS('VENTAS '!$H$4:$H$861,'VENTAS '!$K$4:$K$861,CUMPLIMIENTO!B3,'VENTAS '!$J$4:$J$861,"PUBLICOMERCIAL")-SUMIFS('VENTAS '!$H$4:$H$861,'VENTAS '!$K$4:$K$861,CUMPLIMIENTO!B3,'VENTAS '!$J$4:$J$861,"ROLLOS PT")-SUMIFS('VENTAS '!$H$4:$H$861,'VENTAS '!$K$4:$K$861,CUMPLIMIENTO!B3,'VENTAS '!$J$4:$J$861,"TERMICO")</f>
      </c>
      <c r="I3" s="15">
        <f>SUMIFS('VENTAS '!$H$4:$H$861,'VENTAS '!$K$4:$K$861,CUMPLIMIENTO!B3)-SUMIFS('VENTAS '!$H$4:$H$861,'VENTAS '!$K$4:$K$861,CUMPLIMIENTO!B3,'VENTAS '!$J$4:$J$861,"ROLLOS PT")-SUMIFS('VENTAS '!$H$4:$H$861,'VENTAS '!$K$4:$K$861,CUMPLIMIENTO!B3,'VENTAS '!$J$4:$J$861,"PROMOCIONALES")-SUMIFS('VENTAS '!$H$4:$H$861,'VENTAS '!$K$4:$K$861,CUMPLIMIENTO!B3,'VENTAS '!$J$4:$J$861,"EMPAQUE")-SUMIFS('VENTAS '!$H$4:$H$861,'VENTAS '!$K$4:$K$861,CUMPLIMIENTO!B3,'VENTAS '!$J$4:$J$861,"DIGITAL")-SUMIFS('VENTAS '!$H$4:$H$861,'VENTAS '!$K$4:$K$861,CUMPLIMIENTO!B3,'VENTAS '!$J$4:$J$861,"PUBLICOMERCIAL")-SUMIFS('VENTAS '!$H$4:$H$861,'VENTAS '!$K$4:$K$861,CUMPLIMIENTO!B3,'VENTAS '!$J$4:$J$861,"EDITORIAL")</f>
      </c>
      <c r="J3" s="16">
        <f>SUM(C3:I3)</f>
      </c>
      <c r="K3" s="80" t="s">
        <v>226</v>
      </c>
      <c r="L3" s="17">
        <f>IFERROR(+IFERROR((J3/K3),0),0)</f>
      </c>
    </row>
    <row r="4" spans="2:12" s="10" customFormat="1" ht="20.25" customHeight="1" x14ac:dyDescent="0.25">
      <c r="B4" s="13" t="s">
        <v>226</v>
      </c>
      <c r="C4" s="14">
        <f>SUMIFS('VENTAS '!$H$4:$H$861,'VENTAS '!$K$4:$K$861,CUMPLIMIENTO!B4)-SUMIFS('VENTAS '!$H$4:$H$861,'VENTAS '!$K$4:$K$861,CUMPLIMIENTO!B4,'VENTAS '!$J$4:$J$861,"BOND")-SUMIFS('VENTAS '!$H$4:$H$861,'VENTAS '!$K$4:$K$861,CUMPLIMIENTO!B4,'VENTAS '!$J$4:$J$861,"ROLLOS PT")-SUMIFS('VENTAS '!$H$4:$H$861,'VENTAS '!$K$4:$K$861,CUMPLIMIENTO!B4,'VENTAS '!$J$4:$J$861,"DIGITAL")-SUMIFS('VENTAS '!$H$4:$H$861,'VENTAS '!$K$4:$K$861,CUMPLIMIENTO!B4,'VENTAS '!$J$4:$J$861,"PROMOCIONALES")-SUMIFS('VENTAS '!$H$4:$H$861,'VENTAS '!$K$4:$K$861,CUMPLIMIENTO!B4,'VENTAS '!$J$4:$J$861,"EMPAQUE")-SUMIFS('VENTAS '!$H$4:$H$861,'VENTAS '!$K$4:$K$861,CUMPLIMIENTO!B4,'VENTAS '!$J$4:$J$861,"EDITORIAL")-SUMIFS('VENTAS '!$H$4:$H$861,'VENTAS '!$K$4:$K$861,CUMPLIMIENTO!B4,'VENTAS '!$J$4:$J$861,"TERMICO")</f>
      </c>
      <c r="D4" s="15">
        <f>SUMIFS('VENTAS '!$H$4:$H$861,'VENTAS '!$K$4:$K$861,CUMPLIMIENTO!B4)-SUMIFS('VENTAS '!$H$4:$H$861,'VENTAS '!$K$4:$K$861,CUMPLIMIENTO!B4,'VENTAS '!$J$4:$J$861,"BOND")-SUMIFS('VENTAS '!$H$4:$H$861,'VENTAS '!$K$4:$K$861,CUMPLIMIENTO!B4,'VENTAS '!$J$4:$J$861,"ROLLOS PT")-SUMIFS('VENTAS '!$H$4:$H$861,'VENTAS '!$K$4:$K$861,CUMPLIMIENTO!B4,'VENTAS '!$J$4:$J$861,"DIGITAL")-SUMIFS('VENTAS '!$H$4:$H$861,'VENTAS '!$K$4:$K$861,CUMPLIMIENTO!B4,'VENTAS '!$J$4:$J$861,"PROMOCIONALES")-SUMIFS('VENTAS '!$H$4:$H$861,'VENTAS '!$K$4:$K$861,CUMPLIMIENTO!B4,'VENTAS '!$J$4:$J$861,"PUBLICOMERCIAL")-SUMIFS('VENTAS '!$H$4:$H$861,'VENTAS '!$K$4:$K$861,CUMPLIMIENTO!B4,'VENTAS '!$J$4:$J$861,"EDITORIAL")-SUMIFS('VENTAS '!$H$4:$H$861,'VENTAS '!$K$4:$K$861,CUMPLIMIENTO!B4,'VENTAS '!$J$4:$J$861,"TERMICO")</f>
      </c>
      <c r="E4" s="15">
        <f>SUMIFS('VENTAS '!$H$4:$H$861,'VENTAS '!$K$4:$K$861,CUMPLIMIENTO!B4)-SUMIFS('VENTAS '!$H$4:$H$861,'VENTAS '!$K$4:$K$861,CUMPLIMIENTO!B4,'VENTAS '!$J$4:$J$861,"BOND")-SUMIFS('VENTAS '!$H$4:$H$861,'VENTAS '!$K$4:$K$861,CUMPLIMIENTO!B4,'VENTAS '!$J$4:$J$861,"ROLLOS PT")-SUMIFS('VENTAS '!$H$4:$H$861,'VENTAS '!$K$4:$K$861,CUMPLIMIENTO!B4,'VENTAS '!$J$4:$J$861,"EMPAQUE")-SUMIFS('VENTAS '!$H$4:$H$861,'VENTAS '!$K$4:$K$861,CUMPLIMIENTO!B4,'VENTAS '!$J$4:$J$861,"PROMOCIONALES")-SUMIFS('VENTAS '!$H$4:$H$861,'VENTAS '!$K$4:$K$861,CUMPLIMIENTO!B4,'VENTAS '!$J$4:$J$861,"PUBLICOMERCIAL")-SUMIFS('VENTAS '!$H$4:$H$861,'VENTAS '!$K$4:$K$861,CUMPLIMIENTO!B4,'VENTAS '!$J$4:$J$861,"EDITORIAL")-SUMIFS('VENTAS '!$H$4:$H$861,'VENTAS '!$K$4:$K$861,CUMPLIMIENTO!B4,'VENTAS '!$J$4:$J$861,"TERMICO")</f>
      </c>
      <c r="F4" s="15">
        <f>SUMIFS('VENTAS '!$H$4:$H$861,'VENTAS '!$K$4:$K$861,CUMPLIMIENTO!B4)-SUMIFS('VENTAS '!$H$4:$H$861,'VENTAS '!$K$4:$K$861,CUMPLIMIENTO!B4,'VENTAS '!$J$4:$J$861,"BOND")-SUMIFS('VENTAS '!$H$4:$H$861,'VENTAS '!$K$4:$K$861,CUMPLIMIENTO!B4,'VENTAS '!$J$4:$J$861,"ROLLOS PT")-SUMIFS('VENTAS '!$H$4:$H$861,'VENTAS '!$K$4:$K$861,CUMPLIMIENTO!B4,'VENTAS '!$J$4:$J$861,"EMPAQUE")-SUMIFS('VENTAS '!$H$4:$H$861,'VENTAS '!$K$4:$K$861,CUMPLIMIENTO!B4,'VENTAS '!$J$4:$J$861,"DIGITAL")-SUMIFS('VENTAS '!$H$4:$H$861,'VENTAS '!$K$4:$K$861,CUMPLIMIENTO!B4,'VENTAS '!$J$4:$J$861,"PUBLICOMERCIAL")-SUMIFS('VENTAS '!$H$4:$H$861,'VENTAS '!$K$4:$K$861,CUMPLIMIENTO!B4,'VENTAS '!$J$4:$J$861,"EDITORIAL")-SUMIFS('VENTAS '!$H$4:$H$861,'VENTAS '!$K$4:$K$861,CUMPLIMIENTO!B4,'VENTAS '!$J$4:$J$861,"TERMICO")</f>
      </c>
      <c r="G4" s="15">
        <f>SUMIFS('VENTAS '!$H$4:$H$861,'VENTAS '!$K$4:$K$861,CUMPLIMIENTO!B4)-SUMIFS('VENTAS '!$H$4:$H$861,'VENTAS '!$K$4:$K$861,CUMPLIMIENTO!B4,'VENTAS '!$J$4:$J$861,"BOND")-SUMIFS('VENTAS '!$H$4:$H$861,'VENTAS '!$K$4:$K$861,CUMPLIMIENTO!B4,'VENTAS '!$J$4:$J$861,"PROMOCIONALES")-SUMIFS('VENTAS '!$H$4:$H$861,'VENTAS '!$K$4:$K$861,CUMPLIMIENTO!B4,'VENTAS '!$J$4:$J$861,"EMPAQUE")-SUMIFS('VENTAS '!$H$4:$H$861,'VENTAS '!$K$4:$K$861,CUMPLIMIENTO!B4,'VENTAS '!$J$4:$J$861,"DIGITAL")-SUMIFS('VENTAS '!$H$4:$H$861,'VENTAS '!$K$4:$K$861,CUMPLIMIENTO!B4,'VENTAS '!$J$4:$J$861,"PUBLICOMERCIAL")-SUMIFS('VENTAS '!$H$4:$H$861,'VENTAS '!$K$4:$K$861,CUMPLIMIENTO!B4,'VENTAS '!$J$4:$J$861,"EDITORIAL")-SUMIFS('VENTAS '!$H$4:$H$861,'VENTAS '!$K$4:$K$861,CUMPLIMIENTO!B4,'VENTAS '!$J$4:$J$861,"TERMICO")</f>
      </c>
      <c r="H4" s="15">
        <f>SUMIFS('VENTAS '!$H$4:$H$861,'VENTAS '!$K$4:$K$861,CUMPLIMIENTO!B4)-SUMIFS('VENTAS '!$H$4:$H$861,'VENTAS '!$K$4:$K$861,CUMPLIMIENTO!B4,'VENTAS '!$J$4:$J$861,"BOND")-SUMIFS('VENTAS '!$H$4:$H$861,'VENTAS '!$K$4:$K$861,CUMPLIMIENTO!B4,'VENTAS '!$J$4:$J$861,"PROMOCIONALES")-SUMIFS('VENTAS '!$H$4:$H$861,'VENTAS '!$K$4:$K$861,CUMPLIMIENTO!B4,'VENTAS '!$J$4:$J$861,"EMPAQUE")-SUMIFS('VENTAS '!$H$4:$H$861,'VENTAS '!$K$4:$K$861,CUMPLIMIENTO!B4,'VENTAS '!$J$4:$J$861,"DIGITAL")-SUMIFS('VENTAS '!$H$4:$H$861,'VENTAS '!$K$4:$K$861,CUMPLIMIENTO!B4,'VENTAS '!$J$4:$J$861,"PUBLICOMERCIAL")-SUMIFS('VENTAS '!$H$4:$H$861,'VENTAS '!$K$4:$K$861,CUMPLIMIENTO!B4,'VENTAS '!$J$4:$J$861,"ROLLOS PT")-SUMIFS('VENTAS '!$H$4:$H$861,'VENTAS '!$K$4:$K$861,CUMPLIMIENTO!B4,'VENTAS '!$J$4:$J$861,"TERMICO")</f>
      </c>
      <c r="I4" s="15">
        <f>SUMIFS('VENTAS '!$H$4:$H$861,'VENTAS '!$K$4:$K$861,CUMPLIMIENTO!B4)-SUMIFS('VENTAS '!$H$4:$H$861,'VENTAS '!$K$4:$K$861,CUMPLIMIENTO!B4,'VENTAS '!$J$4:$J$861,"ROLLOS PT")-SUMIFS('VENTAS '!$H$4:$H$861,'VENTAS '!$K$4:$K$861,CUMPLIMIENTO!B4,'VENTAS '!$J$4:$J$861,"PROMOCIONALES")-SUMIFS('VENTAS '!$H$4:$H$861,'VENTAS '!$K$4:$K$861,CUMPLIMIENTO!B4,'VENTAS '!$J$4:$J$861,"EMPAQUE")-SUMIFS('VENTAS '!$H$4:$H$861,'VENTAS '!$K$4:$K$861,CUMPLIMIENTO!B4,'VENTAS '!$J$4:$J$861,"DIGITAL")-SUMIFS('VENTAS '!$H$4:$H$861,'VENTAS '!$K$4:$K$861,CUMPLIMIENTO!B4,'VENTAS '!$J$4:$J$861,"PUBLICOMERCIAL")-SUMIFS('VENTAS '!$H$4:$H$861,'VENTAS '!$K$4:$K$861,CUMPLIMIENTO!B4,'VENTAS '!$J$4:$J$861,"EDITORIAL")</f>
      </c>
      <c r="J4" s="16">
        <f t="shared" ref="J4:J5" si="0">SUM(C4:I4)</f>
      </c>
      <c r="K4" s="80" t="s">
        <v>226</v>
      </c>
      <c r="L4" s="17">
        <f>IFERROR(+IFERROR((J4/K4),0),0)</f>
      </c>
    </row>
    <row r="5" spans="2:12" s="10" customFormat="1" ht="20.25" customHeight="1" x14ac:dyDescent="0.25">
      <c r="B5" s="13" t="s">
        <v>226</v>
      </c>
      <c r="C5" s="14">
        <f>SUMIFS('VENTAS '!$H$4:$H$861,'VENTAS '!$K$4:$K$861,CUMPLIMIENTO!B5)-SUMIFS('VENTAS '!$H$4:$H$861,'VENTAS '!$K$4:$K$861,CUMPLIMIENTO!B5,'VENTAS '!$J$4:$J$861,"BOND")-SUMIFS('VENTAS '!$H$4:$H$861,'VENTAS '!$K$4:$K$861,CUMPLIMIENTO!B5,'VENTAS '!$J$4:$J$861,"ROLLOS PT")-SUMIFS('VENTAS '!$H$4:$H$861,'VENTAS '!$K$4:$K$861,CUMPLIMIENTO!B5,'VENTAS '!$J$4:$J$861,"DIGITAL")-SUMIFS('VENTAS '!$H$4:$H$861,'VENTAS '!$K$4:$K$861,CUMPLIMIENTO!B5,'VENTAS '!$J$4:$J$861,"PROMOCIONALES")-SUMIFS('VENTAS '!$H$4:$H$861,'VENTAS '!$K$4:$K$861,CUMPLIMIENTO!B5,'VENTAS '!$J$4:$J$861,"EMPAQUE")-SUMIFS('VENTAS '!$H$4:$H$861,'VENTAS '!$K$4:$K$861,CUMPLIMIENTO!B5,'VENTAS '!$J$4:$J$861,"EDITORIAL")-SUMIFS('VENTAS '!$H$4:$H$861,'VENTAS '!$K$4:$K$861,CUMPLIMIENTO!B5,'VENTAS '!$J$4:$J$861,"TERMICO")</f>
      </c>
      <c r="D5" s="15">
        <f>SUMIFS('VENTAS '!$H$4:$H$861,'VENTAS '!$K$4:$K$861,CUMPLIMIENTO!B5)-SUMIFS('VENTAS '!$H$4:$H$861,'VENTAS '!$K$4:$K$861,CUMPLIMIENTO!B5,'VENTAS '!$J$4:$J$861,"BOND")-SUMIFS('VENTAS '!$H$4:$H$861,'VENTAS '!$K$4:$K$861,CUMPLIMIENTO!B5,'VENTAS '!$J$4:$J$861,"ROLLOS PT")-SUMIFS('VENTAS '!$H$4:$H$861,'VENTAS '!$K$4:$K$861,CUMPLIMIENTO!B5,'VENTAS '!$J$4:$J$861,"DIGITAL")-SUMIFS('VENTAS '!$H$4:$H$861,'VENTAS '!$K$4:$K$861,CUMPLIMIENTO!B5,'VENTAS '!$J$4:$J$861,"PROMOCIONALES")-SUMIFS('VENTAS '!$H$4:$H$861,'VENTAS '!$K$4:$K$861,CUMPLIMIENTO!B5,'VENTAS '!$J$4:$J$861,"PUBLICOMERCIAL")-SUMIFS('VENTAS '!$H$4:$H$861,'VENTAS '!$K$4:$K$861,CUMPLIMIENTO!B5,'VENTAS '!$J$4:$J$861,"EDITORIAL")-SUMIFS('VENTAS '!$H$4:$H$861,'VENTAS '!$K$4:$K$861,CUMPLIMIENTO!B5,'VENTAS '!$J$4:$J$861,"TERMICO")</f>
      </c>
      <c r="E5" s="15">
        <f>SUMIFS('VENTAS '!$H$4:$H$861,'VENTAS '!$K$4:$K$861,CUMPLIMIENTO!B5)-SUMIFS('VENTAS '!$H$4:$H$861,'VENTAS '!$K$4:$K$861,CUMPLIMIENTO!B5,'VENTAS '!$J$4:$J$861,"BOND")-SUMIFS('VENTAS '!$H$4:$H$861,'VENTAS '!$K$4:$K$861,CUMPLIMIENTO!B5,'VENTAS '!$J$4:$J$861,"ROLLOS PT")-SUMIFS('VENTAS '!$H$4:$H$861,'VENTAS '!$K$4:$K$861,CUMPLIMIENTO!B5,'VENTAS '!$J$4:$J$861,"EMPAQUE")-SUMIFS('VENTAS '!$H$4:$H$861,'VENTAS '!$K$4:$K$861,CUMPLIMIENTO!B5,'VENTAS '!$J$4:$J$861,"PROMOCIONALES")-SUMIFS('VENTAS '!$H$4:$H$861,'VENTAS '!$K$4:$K$861,CUMPLIMIENTO!B5,'VENTAS '!$J$4:$J$861,"PUBLICOMERCIAL")-SUMIFS('VENTAS '!$H$4:$H$861,'VENTAS '!$K$4:$K$861,CUMPLIMIENTO!B5,'VENTAS '!$J$4:$J$861,"EDITORIAL")-SUMIFS('VENTAS '!$H$4:$H$861,'VENTAS '!$K$4:$K$861,CUMPLIMIENTO!B5,'VENTAS '!$J$4:$J$861,"TERMICO")</f>
      </c>
      <c r="F5" s="15">
        <f>SUMIFS('VENTAS '!$H$4:$H$861,'VENTAS '!$K$4:$K$861,CUMPLIMIENTO!B5)-SUMIFS('VENTAS '!$H$4:$H$861,'VENTAS '!$K$4:$K$861,CUMPLIMIENTO!B5,'VENTAS '!$J$4:$J$861,"BOND")-SUMIFS('VENTAS '!$H$4:$H$861,'VENTAS '!$K$4:$K$861,CUMPLIMIENTO!B5,'VENTAS '!$J$4:$J$861,"ROLLOS PT")-SUMIFS('VENTAS '!$H$4:$H$861,'VENTAS '!$K$4:$K$861,CUMPLIMIENTO!B5,'VENTAS '!$J$4:$J$861,"EMPAQUE")-SUMIFS('VENTAS '!$H$4:$H$861,'VENTAS '!$K$4:$K$861,CUMPLIMIENTO!B5,'VENTAS '!$J$4:$J$861,"DIGITAL")-SUMIFS('VENTAS '!$H$4:$H$861,'VENTAS '!$K$4:$K$861,CUMPLIMIENTO!B5,'VENTAS '!$J$4:$J$861,"PUBLICOMERCIAL")-SUMIFS('VENTAS '!$H$4:$H$861,'VENTAS '!$K$4:$K$861,CUMPLIMIENTO!B5,'VENTAS '!$J$4:$J$861,"EDITORIAL")-SUMIFS('VENTAS '!$H$4:$H$861,'VENTAS '!$K$4:$K$861,CUMPLIMIENTO!B5,'VENTAS '!$J$4:$J$861,"TERMICO")</f>
      </c>
      <c r="G5" s="15">
        <f>SUMIFS('VENTAS '!$H$4:$H$861,'VENTAS '!$K$4:$K$861,CUMPLIMIENTO!B5)-SUMIFS('VENTAS '!$H$4:$H$861,'VENTAS '!$K$4:$K$861,CUMPLIMIENTO!B5,'VENTAS '!$J$4:$J$861,"BOND")-SUMIFS('VENTAS '!$H$4:$H$861,'VENTAS '!$K$4:$K$861,CUMPLIMIENTO!B5,'VENTAS '!$J$4:$J$861,"PROMOCIONALES")-SUMIFS('VENTAS '!$H$4:$H$861,'VENTAS '!$K$4:$K$861,CUMPLIMIENTO!B5,'VENTAS '!$J$4:$J$861,"EMPAQUE")-SUMIFS('VENTAS '!$H$4:$H$861,'VENTAS '!$K$4:$K$861,CUMPLIMIENTO!B5,'VENTAS '!$J$4:$J$861,"DIGITAL")-SUMIFS('VENTAS '!$H$4:$H$861,'VENTAS '!$K$4:$K$861,CUMPLIMIENTO!B5,'VENTAS '!$J$4:$J$861,"PUBLICOMERCIAL")-SUMIFS('VENTAS '!$H$4:$H$861,'VENTAS '!$K$4:$K$861,CUMPLIMIENTO!B5,'VENTAS '!$J$4:$J$861,"EDITORIAL")-SUMIFS('VENTAS '!$H$4:$H$861,'VENTAS '!$K$4:$K$861,CUMPLIMIENTO!B5,'VENTAS '!$J$4:$J$861,"TERMICO")</f>
      </c>
      <c r="H5" s="15">
        <f>SUMIFS('VENTAS '!$H$4:$H$861,'VENTAS '!$K$4:$K$861,CUMPLIMIENTO!B5)-SUMIFS('VENTAS '!$H$4:$H$861,'VENTAS '!$K$4:$K$861,CUMPLIMIENTO!B5,'VENTAS '!$J$4:$J$861,"BOND")-SUMIFS('VENTAS '!$H$4:$H$861,'VENTAS '!$K$4:$K$861,CUMPLIMIENTO!B5,'VENTAS '!$J$4:$J$861,"PROMOCIONALES")-SUMIFS('VENTAS '!$H$4:$H$861,'VENTAS '!$K$4:$K$861,CUMPLIMIENTO!B5,'VENTAS '!$J$4:$J$861,"EMPAQUE")-SUMIFS('VENTAS '!$H$4:$H$861,'VENTAS '!$K$4:$K$861,CUMPLIMIENTO!B5,'VENTAS '!$J$4:$J$861,"DIGITAL")-SUMIFS('VENTAS '!$H$4:$H$861,'VENTAS '!$K$4:$K$861,CUMPLIMIENTO!B5,'VENTAS '!$J$4:$J$861,"PUBLICOMERCIAL")-SUMIFS('VENTAS '!$H$4:$H$861,'VENTAS '!$K$4:$K$861,CUMPLIMIENTO!B5,'VENTAS '!$J$4:$J$861,"ROLLOS PT")-SUMIFS('VENTAS '!$H$4:$H$861,'VENTAS '!$K$4:$K$861,CUMPLIMIENTO!B5,'VENTAS '!$J$4:$J$861,"TERMICO")</f>
      </c>
      <c r="I5" s="15">
        <f>SUMIFS('VENTAS '!$H$4:$H$861,'VENTAS '!$K$4:$K$861,CUMPLIMIENTO!B5)-SUMIFS('VENTAS '!$H$4:$H$861,'VENTAS '!$K$4:$K$861,CUMPLIMIENTO!B5,'VENTAS '!$J$4:$J$861,"ROLLOS PT")-SUMIFS('VENTAS '!$H$4:$H$861,'VENTAS '!$K$4:$K$861,CUMPLIMIENTO!B5,'VENTAS '!$J$4:$J$861,"PROMOCIONALES")-SUMIFS('VENTAS '!$H$4:$H$861,'VENTAS '!$K$4:$K$861,CUMPLIMIENTO!B5,'VENTAS '!$J$4:$J$861,"EMPAQUE")-SUMIFS('VENTAS '!$H$4:$H$861,'VENTAS '!$K$4:$K$861,CUMPLIMIENTO!B5,'VENTAS '!$J$4:$J$861,"DIGITAL")-SUMIFS('VENTAS '!$H$4:$H$861,'VENTAS '!$K$4:$K$861,CUMPLIMIENTO!B5,'VENTAS '!$J$4:$J$861,"PUBLICOMERCIAL")-SUMIFS('VENTAS '!$H$4:$H$861,'VENTAS '!$K$4:$K$861,CUMPLIMIENTO!B5,'VENTAS '!$J$4:$J$861,"EDITORIAL")</f>
      </c>
      <c r="J5" s="16">
        <f t="shared" si="0"/>
      </c>
      <c r="K5" s="80" t="s">
        <v>226</v>
      </c>
      <c r="L5" s="17">
        <f>IFERROR(+IFERROR((J5/K5),0),0)</f>
      </c>
    </row>
    <row r="6" spans="2:12" s="10" customFormat="1" ht="20.25" customHeight="1" x14ac:dyDescent="0.25">
      <c r="B6" s="13" t="s">
        <v>226</v>
      </c>
      <c r="C6" s="14">
        <f>SUMIFS('VENTAS '!$H$4:$H$861,'VENTAS '!$K$4:$K$861,CUMPLIMIENTO!B6)-SUMIFS('VENTAS '!$H$4:$H$861,'VENTAS '!$K$4:$K$861,CUMPLIMIENTO!B6,'VENTAS '!$J$4:$J$861,"BOND")-SUMIFS('VENTAS '!$H$4:$H$861,'VENTAS '!$K$4:$K$861,CUMPLIMIENTO!B6,'VENTAS '!$J$4:$J$861,"ROLLOS PT")-SUMIFS('VENTAS '!$H$4:$H$861,'VENTAS '!$K$4:$K$861,CUMPLIMIENTO!B6,'VENTAS '!$J$4:$J$861,"DIGITAL")-SUMIFS('VENTAS '!$H$4:$H$861,'VENTAS '!$K$4:$K$861,CUMPLIMIENTO!B6,'VENTAS '!$J$4:$J$861,"PROMOCIONALES")-SUMIFS('VENTAS '!$H$4:$H$861,'VENTAS '!$K$4:$K$861,CUMPLIMIENTO!B6,'VENTAS '!$J$4:$J$861,"EMPAQUE")-SUMIFS('VENTAS '!$H$4:$H$861,'VENTAS '!$K$4:$K$861,CUMPLIMIENTO!B6,'VENTAS '!$J$4:$J$861,"EDITORIAL")-SUMIFS('VENTAS '!$H$4:$H$861,'VENTAS '!$K$4:$K$861,CUMPLIMIENTO!B6,'VENTAS '!$J$4:$J$861,"TERMICO")</f>
      </c>
      <c r="D6" s="15">
        <f>SUMIFS('VENTAS '!$H$4:$H$861,'VENTAS '!$K$4:$K$861,CUMPLIMIENTO!B6)-SUMIFS('VENTAS '!$H$4:$H$861,'VENTAS '!$K$4:$K$861,CUMPLIMIENTO!B6,'VENTAS '!$J$4:$J$861,"BOND")-SUMIFS('VENTAS '!$H$4:$H$861,'VENTAS '!$K$4:$K$861,CUMPLIMIENTO!B6,'VENTAS '!$J$4:$J$861,"ROLLOS PT")-SUMIFS('VENTAS '!$H$4:$H$861,'VENTAS '!$K$4:$K$861,CUMPLIMIENTO!B6,'VENTAS '!$J$4:$J$861,"DIGITAL")-SUMIFS('VENTAS '!$H$4:$H$861,'VENTAS '!$K$4:$K$861,CUMPLIMIENTO!B6,'VENTAS '!$J$4:$J$861,"PROMOCIONALES")-SUMIFS('VENTAS '!$H$4:$H$861,'VENTAS '!$K$4:$K$861,CUMPLIMIENTO!B6,'VENTAS '!$J$4:$J$861,"PUBLICOMERCIAL")-SUMIFS('VENTAS '!$H$4:$H$861,'VENTAS '!$K$4:$K$861,CUMPLIMIENTO!B6,'VENTAS '!$J$4:$J$861,"EDITORIAL")-SUMIFS('VENTAS '!$H$4:$H$861,'VENTAS '!$K$4:$K$861,CUMPLIMIENTO!B6,'VENTAS '!$J$4:$J$861,"TERMICO")</f>
      </c>
      <c r="E6" s="15">
        <f>SUMIFS('VENTAS '!$H$4:$H$861,'VENTAS '!$K$4:$K$861,CUMPLIMIENTO!B6)-SUMIFS('VENTAS '!$H$4:$H$861,'VENTAS '!$K$4:$K$861,CUMPLIMIENTO!B6,'VENTAS '!$J$4:$J$861,"BOND")-SUMIFS('VENTAS '!$H$4:$H$861,'VENTAS '!$K$4:$K$861,CUMPLIMIENTO!B6,'VENTAS '!$J$4:$J$861,"ROLLOS PT")-SUMIFS('VENTAS '!$H$4:$H$861,'VENTAS '!$K$4:$K$861,CUMPLIMIENTO!B6,'VENTAS '!$J$4:$J$861,"EMPAQUE")-SUMIFS('VENTAS '!$H$4:$H$861,'VENTAS '!$K$4:$K$861,CUMPLIMIENTO!B6,'VENTAS '!$J$4:$J$861,"PROMOCIONALES")-SUMIFS('VENTAS '!$H$4:$H$861,'VENTAS '!$K$4:$K$861,CUMPLIMIENTO!B6,'VENTAS '!$J$4:$J$861,"PUBLICOMERCIAL")-SUMIFS('VENTAS '!$H$4:$H$861,'VENTAS '!$K$4:$K$861,CUMPLIMIENTO!B6,'VENTAS '!$J$4:$J$861,"EDITORIAL")-SUMIFS('VENTAS '!$H$4:$H$861,'VENTAS '!$K$4:$K$861,CUMPLIMIENTO!B6,'VENTAS '!$J$4:$J$861,"TERMICO")</f>
      </c>
      <c r="F6" s="15">
        <f>SUMIFS('VENTAS '!$H$4:$H$861,'VENTAS '!$K$4:$K$861,CUMPLIMIENTO!B6)-SUMIFS('VENTAS '!$H$4:$H$861,'VENTAS '!$K$4:$K$861,CUMPLIMIENTO!B6,'VENTAS '!$J$4:$J$861,"BOND")-SUMIFS('VENTAS '!$H$4:$H$861,'VENTAS '!$K$4:$K$861,CUMPLIMIENTO!B6,'VENTAS '!$J$4:$J$861,"ROLLOS PT")-SUMIFS('VENTAS '!$H$4:$H$861,'VENTAS '!$K$4:$K$861,CUMPLIMIENTO!B6,'VENTAS '!$J$4:$J$861,"EMPAQUE")-SUMIFS('VENTAS '!$H$4:$H$861,'VENTAS '!$K$4:$K$861,CUMPLIMIENTO!B6,'VENTAS '!$J$4:$J$861,"DIGITAL")-SUMIFS('VENTAS '!$H$4:$H$861,'VENTAS '!$K$4:$K$861,CUMPLIMIENTO!B6,'VENTAS '!$J$4:$J$861,"PUBLICOMERCIAL")-SUMIFS('VENTAS '!$H$4:$H$861,'VENTAS '!$K$4:$K$861,CUMPLIMIENTO!B6,'VENTAS '!$J$4:$J$861,"EDITORIAL")-SUMIFS('VENTAS '!$H$4:$H$861,'VENTAS '!$K$4:$K$861,CUMPLIMIENTO!B6,'VENTAS '!$J$4:$J$861,"TERMICO")</f>
      </c>
      <c r="G6" s="15">
        <f>SUMIFS('VENTAS '!$H$4:$H$861,'VENTAS '!$K$4:$K$861,CUMPLIMIENTO!B6)-SUMIFS('VENTAS '!$H$4:$H$861,'VENTAS '!$K$4:$K$861,CUMPLIMIENTO!B6,'VENTAS '!$J$4:$J$861,"BOND")-SUMIFS('VENTAS '!$H$4:$H$861,'VENTAS '!$K$4:$K$861,CUMPLIMIENTO!B6,'VENTAS '!$J$4:$J$861,"PROMOCIONALES")-SUMIFS('VENTAS '!$H$4:$H$861,'VENTAS '!$K$4:$K$861,CUMPLIMIENTO!B6,'VENTAS '!$J$4:$J$861,"EMPAQUE")-SUMIFS('VENTAS '!$H$4:$H$861,'VENTAS '!$K$4:$K$861,CUMPLIMIENTO!B6,'VENTAS '!$J$4:$J$861,"DIGITAL")-SUMIFS('VENTAS '!$H$4:$H$861,'VENTAS '!$K$4:$K$861,CUMPLIMIENTO!B6,'VENTAS '!$J$4:$J$861,"PUBLICOMERCIAL")-SUMIFS('VENTAS '!$H$4:$H$861,'VENTAS '!$K$4:$K$861,CUMPLIMIENTO!B6,'VENTAS '!$J$4:$J$861,"EDITORIAL")-SUMIFS('VENTAS '!$H$4:$H$861,'VENTAS '!$K$4:$K$861,CUMPLIMIENTO!B6,'VENTAS '!$J$4:$J$861,"TERMICO")</f>
      </c>
      <c r="H6" s="15">
        <f>SUMIFS('VENTAS '!$H$4:$H$861,'VENTAS '!$K$4:$K$861,CUMPLIMIENTO!B6)-SUMIFS('VENTAS '!$H$4:$H$861,'VENTAS '!$K$4:$K$861,CUMPLIMIENTO!B6,'VENTAS '!$J$4:$J$861,"BOND")-SUMIFS('VENTAS '!$H$4:$H$861,'VENTAS '!$K$4:$K$861,CUMPLIMIENTO!B6,'VENTAS '!$J$4:$J$861,"PROMOCIONALES")-SUMIFS('VENTAS '!$H$4:$H$861,'VENTAS '!$K$4:$K$861,CUMPLIMIENTO!B6,'VENTAS '!$J$4:$J$861,"EMPAQUE")-SUMIFS('VENTAS '!$H$4:$H$861,'VENTAS '!$K$4:$K$861,CUMPLIMIENTO!B6,'VENTAS '!$J$4:$J$861,"DIGITAL")-SUMIFS('VENTAS '!$H$4:$H$861,'VENTAS '!$K$4:$K$861,CUMPLIMIENTO!B6,'VENTAS '!$J$4:$J$861,"PUBLICOMERCIAL")-SUMIFS('VENTAS '!$H$4:$H$861,'VENTAS '!$K$4:$K$861,CUMPLIMIENTO!B6,'VENTAS '!$J$4:$J$861,"ROLLOS PT")-SUMIFS('VENTAS '!$H$4:$H$861,'VENTAS '!$K$4:$K$861,CUMPLIMIENTO!B6,'VENTAS '!$J$4:$J$861,"TERMICO")</f>
      </c>
      <c r="I6" s="15">
        <f>SUMIFS('VENTAS '!$H$4:$H$861,'VENTAS '!$K$4:$K$861,CUMPLIMIENTO!B6)-SUMIFS('VENTAS '!$H$4:$H$861,'VENTAS '!$K$4:$K$861,CUMPLIMIENTO!B6,'VENTAS '!$J$4:$J$861,"ROLLOS PT")-SUMIFS('VENTAS '!$H$4:$H$861,'VENTAS '!$K$4:$K$861,CUMPLIMIENTO!B6,'VENTAS '!$J$4:$J$861,"PROMOCIONALES")-SUMIFS('VENTAS '!$H$4:$H$861,'VENTAS '!$K$4:$K$861,CUMPLIMIENTO!B6,'VENTAS '!$J$4:$J$861,"EMPAQUE")-SUMIFS('VENTAS '!$H$4:$H$861,'VENTAS '!$K$4:$K$861,CUMPLIMIENTO!B6,'VENTAS '!$J$4:$J$861,"DIGITAL")-SUMIFS('VENTAS '!$H$4:$H$861,'VENTAS '!$K$4:$K$861,CUMPLIMIENTO!B6,'VENTAS '!$J$4:$J$861,"PUBLICOMERCIAL")-SUMIFS('VENTAS '!$H$4:$H$861,'VENTAS '!$K$4:$K$861,CUMPLIMIENTO!B6,'VENTAS '!$J$4:$J$861,"EDITORIAL")</f>
      </c>
      <c r="J6" s="16">
        <f t="shared" ref="J6" si="2">SUM(C6:I6)</f>
      </c>
      <c r="K6" s="80" t="s">
        <v>226</v>
      </c>
      <c r="L6" s="17">
        <f>IFERROR(+IFERROR((J6/K6),0),0)</f>
      </c>
    </row>
    <row r="7" spans="2:12" s="10" customFormat="1" ht="20.25" customHeight="1" x14ac:dyDescent="0.25">
      <c r="B7" s="13" t="s">
        <v>226</v>
      </c>
      <c r="C7" s="14">
        <f>SUMIFS('VENTAS '!$H$4:$H$861,'VENTAS '!$K$4:$K$861,CUMPLIMIENTO!B7)-SUMIFS('VENTAS '!$H$4:$H$861,'VENTAS '!$K$4:$K$861,CUMPLIMIENTO!B7,'VENTAS '!$J$4:$J$861,"BOND")-SUMIFS('VENTAS '!$H$4:$H$861,'VENTAS '!$K$4:$K$861,CUMPLIMIENTO!B7,'VENTAS '!$J$4:$J$861,"ROLLOS PT")-SUMIFS('VENTAS '!$H$4:$H$861,'VENTAS '!$K$4:$K$861,CUMPLIMIENTO!B7,'VENTAS '!$J$4:$J$861,"DIGITAL")-SUMIFS('VENTAS '!$H$4:$H$861,'VENTAS '!$K$4:$K$861,CUMPLIMIENTO!B7,'VENTAS '!$J$4:$J$861,"PROMOCIONALES")-SUMIFS('VENTAS '!$H$4:$H$861,'VENTAS '!$K$4:$K$861,CUMPLIMIENTO!B7,'VENTAS '!$J$4:$J$861,"EMPAQUE")-SUMIFS('VENTAS '!$H$4:$H$861,'VENTAS '!$K$4:$K$861,CUMPLIMIENTO!B7,'VENTAS '!$J$4:$J$861,"EDITORIAL")-SUMIFS('VENTAS '!$H$4:$H$861,'VENTAS '!$K$4:$K$861,CUMPLIMIENTO!B7,'VENTAS '!$J$4:$J$861,"TERMICO")</f>
      </c>
      <c r="D7" s="15">
        <f>SUMIFS('VENTAS '!$H$4:$H$861,'VENTAS '!$K$4:$K$861,CUMPLIMIENTO!B7)-SUMIFS('VENTAS '!$H$4:$H$861,'VENTAS '!$K$4:$K$861,CUMPLIMIENTO!B7,'VENTAS '!$J$4:$J$861,"BOND")-SUMIFS('VENTAS '!$H$4:$H$861,'VENTAS '!$K$4:$K$861,CUMPLIMIENTO!B7,'VENTAS '!$J$4:$J$861,"ROLLOS PT")-SUMIFS('VENTAS '!$H$4:$H$861,'VENTAS '!$K$4:$K$861,CUMPLIMIENTO!B7,'VENTAS '!$J$4:$J$861,"DIGITAL")-SUMIFS('VENTAS '!$H$4:$H$861,'VENTAS '!$K$4:$K$861,CUMPLIMIENTO!B7,'VENTAS '!$J$4:$J$861,"PROMOCIONALES")-SUMIFS('VENTAS '!$H$4:$H$861,'VENTAS '!$K$4:$K$861,CUMPLIMIENTO!B7,'VENTAS '!$J$4:$J$861,"PUBLICOMERCIAL")-SUMIFS('VENTAS '!$H$4:$H$861,'VENTAS '!$K$4:$K$861,CUMPLIMIENTO!B7,'VENTAS '!$J$4:$J$861,"EDITORIAL")-SUMIFS('VENTAS '!$H$4:$H$861,'VENTAS '!$K$4:$K$861,CUMPLIMIENTO!B7,'VENTAS '!$J$4:$J$861,"TERMICO")</f>
      </c>
      <c r="E7" s="15">
        <f>SUMIFS('VENTAS '!$H$4:$H$861,'VENTAS '!$K$4:$K$861,CUMPLIMIENTO!B7)-SUMIFS('VENTAS '!$H$4:$H$861,'VENTAS '!$K$4:$K$861,CUMPLIMIENTO!B7,'VENTAS '!$J$4:$J$861,"BOND")-SUMIFS('VENTAS '!$H$4:$H$861,'VENTAS '!$K$4:$K$861,CUMPLIMIENTO!B7,'VENTAS '!$J$4:$J$861,"ROLLOS PT")-SUMIFS('VENTAS '!$H$4:$H$861,'VENTAS '!$K$4:$K$861,CUMPLIMIENTO!B7,'VENTAS '!$J$4:$J$861,"EMPAQUE")-SUMIFS('VENTAS '!$H$4:$H$861,'VENTAS '!$K$4:$K$861,CUMPLIMIENTO!B7,'VENTAS '!$J$4:$J$861,"PROMOCIONALES")-SUMIFS('VENTAS '!$H$4:$H$861,'VENTAS '!$K$4:$K$861,CUMPLIMIENTO!B7,'VENTAS '!$J$4:$J$861,"PUBLICOMERCIAL")-SUMIFS('VENTAS '!$H$4:$H$861,'VENTAS '!$K$4:$K$861,CUMPLIMIENTO!B7,'VENTAS '!$J$4:$J$861,"EDITORIAL")-SUMIFS('VENTAS '!$H$4:$H$861,'VENTAS '!$K$4:$K$861,CUMPLIMIENTO!B7,'VENTAS '!$J$4:$J$861,"TERMICO")</f>
      </c>
      <c r="F7" s="15">
        <f>SUMIFS('VENTAS '!$H$4:$H$861,'VENTAS '!$K$4:$K$861,CUMPLIMIENTO!B7)-SUMIFS('VENTAS '!$H$4:$H$861,'VENTAS '!$K$4:$K$861,CUMPLIMIENTO!B7,'VENTAS '!$J$4:$J$861,"BOND")-SUMIFS('VENTAS '!$H$4:$H$861,'VENTAS '!$K$4:$K$861,CUMPLIMIENTO!B7,'VENTAS '!$J$4:$J$861,"ROLLOS PT")-SUMIFS('VENTAS '!$H$4:$H$861,'VENTAS '!$K$4:$K$861,CUMPLIMIENTO!B7,'VENTAS '!$J$4:$J$861,"EMPAQUE")-SUMIFS('VENTAS '!$H$4:$H$861,'VENTAS '!$K$4:$K$861,CUMPLIMIENTO!B7,'VENTAS '!$J$4:$J$861,"DIGITAL")-SUMIFS('VENTAS '!$H$4:$H$861,'VENTAS '!$K$4:$K$861,CUMPLIMIENTO!B7,'VENTAS '!$J$4:$J$861,"PUBLICOMERCIAL")-SUMIFS('VENTAS '!$H$4:$H$861,'VENTAS '!$K$4:$K$861,CUMPLIMIENTO!B7,'VENTAS '!$J$4:$J$861,"EDITORIAL")-SUMIFS('VENTAS '!$H$4:$H$861,'VENTAS '!$K$4:$K$861,CUMPLIMIENTO!B7,'VENTAS '!$J$4:$J$861,"TERMICO")</f>
      </c>
      <c r="G7" s="15">
        <f>SUMIFS('VENTAS '!$H$4:$H$861,'VENTAS '!$K$4:$K$861,CUMPLIMIENTO!B7)-SUMIFS('VENTAS '!$H$4:$H$861,'VENTAS '!$K$4:$K$861,CUMPLIMIENTO!B7,'VENTAS '!$J$4:$J$861,"BOND")-SUMIFS('VENTAS '!$H$4:$H$861,'VENTAS '!$K$4:$K$861,CUMPLIMIENTO!B7,'VENTAS '!$J$4:$J$861,"PROMOCIONALES")-SUMIFS('VENTAS '!$H$4:$H$861,'VENTAS '!$K$4:$K$861,CUMPLIMIENTO!B7,'VENTAS '!$J$4:$J$861,"EMPAQUE")-SUMIFS('VENTAS '!$H$4:$H$861,'VENTAS '!$K$4:$K$861,CUMPLIMIENTO!B7,'VENTAS '!$J$4:$J$861,"DIGITAL")-SUMIFS('VENTAS '!$H$4:$H$861,'VENTAS '!$K$4:$K$861,CUMPLIMIENTO!B7,'VENTAS '!$J$4:$J$861,"PUBLICOMERCIAL")-SUMIFS('VENTAS '!$H$4:$H$861,'VENTAS '!$K$4:$K$861,CUMPLIMIENTO!B7,'VENTAS '!$J$4:$J$861,"EDITORIAL")-SUMIFS('VENTAS '!$H$4:$H$861,'VENTAS '!$K$4:$K$861,CUMPLIMIENTO!B7,'VENTAS '!$J$4:$J$861,"TERMICO")</f>
      </c>
      <c r="H7" s="15">
        <f>SUMIFS('VENTAS '!$H$4:$H$861,'VENTAS '!$K$4:$K$861,CUMPLIMIENTO!B7)-SUMIFS('VENTAS '!$H$4:$H$861,'VENTAS '!$K$4:$K$861,CUMPLIMIENTO!B7,'VENTAS '!$J$4:$J$861,"BOND")-SUMIFS('VENTAS '!$H$4:$H$861,'VENTAS '!$K$4:$K$861,CUMPLIMIENTO!B7,'VENTAS '!$J$4:$J$861,"PROMOCIONALES")-SUMIFS('VENTAS '!$H$4:$H$861,'VENTAS '!$K$4:$K$861,CUMPLIMIENTO!B7,'VENTAS '!$J$4:$J$861,"EMPAQUE")-SUMIFS('VENTAS '!$H$4:$H$861,'VENTAS '!$K$4:$K$861,CUMPLIMIENTO!B7,'VENTAS '!$J$4:$J$861,"DIGITAL")-SUMIFS('VENTAS '!$H$4:$H$861,'VENTAS '!$K$4:$K$861,CUMPLIMIENTO!B7,'VENTAS '!$J$4:$J$861,"PUBLICOMERCIAL")-SUMIFS('VENTAS '!$H$4:$H$861,'VENTAS '!$K$4:$K$861,CUMPLIMIENTO!B7,'VENTAS '!$J$4:$J$861,"ROLLOS PT")-SUMIFS('VENTAS '!$H$4:$H$861,'VENTAS '!$K$4:$K$861,CUMPLIMIENTO!B7,'VENTAS '!$J$4:$J$861,"TERMICO")</f>
      </c>
      <c r="I7" s="15">
        <f>SUMIFS('VENTAS '!$H$4:$H$861,'VENTAS '!$K$4:$K$861,CUMPLIMIENTO!B7)-SUMIFS('VENTAS '!$H$4:$H$861,'VENTAS '!$K$4:$K$861,CUMPLIMIENTO!B7,'VENTAS '!$J$4:$J$861,"ROLLOS PT")-SUMIFS('VENTAS '!$H$4:$H$861,'VENTAS '!$K$4:$K$861,CUMPLIMIENTO!B7,'VENTAS '!$J$4:$J$861,"PROMOCIONALES")-SUMIFS('VENTAS '!$H$4:$H$861,'VENTAS '!$K$4:$K$861,CUMPLIMIENTO!B7,'VENTAS '!$J$4:$J$861,"EMPAQUE")-SUMIFS('VENTAS '!$H$4:$H$861,'VENTAS '!$K$4:$K$861,CUMPLIMIENTO!B7,'VENTAS '!$J$4:$J$861,"DIGITAL")-SUMIFS('VENTAS '!$H$4:$H$861,'VENTAS '!$K$4:$K$861,CUMPLIMIENTO!B7,'VENTAS '!$J$4:$J$861,"PUBLICOMERCIAL")-SUMIFS('VENTAS '!$H$4:$H$861,'VENTAS '!$K$4:$K$861,CUMPLIMIENTO!B7,'VENTAS '!$J$4:$J$861,"EDITORIAL")</f>
      </c>
      <c r="J7" s="16">
        <f t="shared" ref="J7:J8" si="4">SUM(C7:I7)</f>
      </c>
      <c r="K7" s="80" t="s">
        <v>226</v>
      </c>
      <c r="L7" s="17">
        <f>IFERROR(+IFERROR((J7/K7),0),0)</f>
      </c>
    </row>
    <row r="8" spans="2:12" s="10" customFormat="1" ht="20.25" customHeight="1" x14ac:dyDescent="0.25">
      <c r="B8" s="13" t="s">
        <v>226</v>
      </c>
      <c r="C8" s="14" t="s">
        <v>226</v>
      </c>
      <c r="D8" s="15">
        <f>SUMIFS('VENTAS '!$H$4:$H$861,'VENTAS '!$K$4:$K$861,CUMPLIMIENTO!B8)-SUMIFS('VENTAS '!$H$4:$H$861,'VENTAS '!$K$4:$K$861,CUMPLIMIENTO!B8,'VENTAS '!$J$4:$J$861,"BOND")-SUMIFS('VENTAS '!$H$4:$H$861,'VENTAS '!$K$4:$K$861,CUMPLIMIENTO!B8,'VENTAS '!$J$4:$J$861,"ROLLOS PT")-SUMIFS('VENTAS '!$H$4:$H$861,'VENTAS '!$K$4:$K$861,CUMPLIMIENTO!B8,'VENTAS '!$J$4:$J$861,"DIGITAL")-SUMIFS('VENTAS '!$H$4:$H$861,'VENTAS '!$K$4:$K$861,CUMPLIMIENTO!B8,'VENTAS '!$J$4:$J$861,"PROMOCIONALES")-SUMIFS('VENTAS '!$H$4:$H$861,'VENTAS '!$K$4:$K$861,CUMPLIMIENTO!B8,'VENTAS '!$J$4:$J$861,"PUBLICOMERCIAL")-SUMIFS('VENTAS '!$H$4:$H$861,'VENTAS '!$K$4:$K$861,CUMPLIMIENTO!B8,'VENTAS '!$J$4:$J$861,"EDITORIAL")-SUMIFS('VENTAS '!$H$4:$H$861,'VENTAS '!$K$4:$K$861,CUMPLIMIENTO!B8,'VENTAS '!$J$4:$J$861,"TERMICO")</f>
      </c>
      <c r="E8" s="15" t="s">
        <v>226</v>
      </c>
      <c r="F8" s="15" t="s">
        <v>226</v>
      </c>
      <c r="G8" s="15" t="s">
        <v>226</v>
      </c>
      <c r="H8" s="15" t="s">
        <v>226</v>
      </c>
      <c r="I8" s="15" t="s">
        <v>226</v>
      </c>
      <c r="J8" s="16">
        <f t="shared" si="4"/>
      </c>
      <c r="K8" s="80" t="s">
        <v>226</v>
      </c>
      <c r="L8" s="17" t="s">
        <v>226</v>
      </c>
    </row>
    <row r="9" spans="2:12" x14ac:dyDescent="0.3">
      <c r="B9" s="10" t="s">
        <v>226</v>
      </c>
      <c r="C9" s="10" t="s">
        <v>226</v>
      </c>
      <c r="D9" s="10" t="s">
        <v>226</v>
      </c>
      <c r="E9" s="10" t="s">
        <v>226</v>
      </c>
      <c r="F9" s="10" t="s">
        <v>226</v>
      </c>
      <c r="G9" s="10" t="s">
        <v>226</v>
      </c>
      <c r="H9" s="10" t="s">
        <v>226</v>
      </c>
      <c r="I9" s="10" t="s">
        <v>226</v>
      </c>
      <c r="J9" s="10" t="s">
        <v>226</v>
      </c>
      <c r="K9" s="9" t="s">
        <v>226</v>
      </c>
      <c r="L9" s="10" t="s">
        <v>226</v>
      </c>
    </row>
    <row r="10" spans="2:12" x14ac:dyDescent="0.3">
      <c r="B10" s="10" t="s">
        <v>226</v>
      </c>
      <c r="C10" s="10" t="s">
        <v>226</v>
      </c>
      <c r="D10" s="10" t="s">
        <v>226</v>
      </c>
      <c r="E10" s="10" t="s">
        <v>226</v>
      </c>
      <c r="F10" s="10" t="s">
        <v>226</v>
      </c>
      <c r="G10" s="10" t="s">
        <v>226</v>
      </c>
      <c r="H10" s="10" t="s">
        <v>226</v>
      </c>
      <c r="I10" s="10" t="s">
        <v>226</v>
      </c>
      <c r="J10" s="10" t="s">
        <v>226</v>
      </c>
      <c r="K10" s="9" t="s">
        <v>226</v>
      </c>
      <c r="L10" s="10" t="s">
        <v>226</v>
      </c>
    </row>
    <row r="11" spans="2:12" s="20" customFormat="1" ht="38.25" customHeight="1" x14ac:dyDescent="0.3">
      <c r="B11" s="5" t="s">
        <v>28</v>
      </c>
      <c r="C11" s="5" t="s">
        <v>15</v>
      </c>
      <c r="D11" s="5" t="s">
        <v>10</v>
      </c>
      <c r="E11" s="5" t="s">
        <v>18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18"/>
      <c r="L11" s="19"/>
    </row>
    <row r="12" spans="2:12" s="10" customFormat="1" ht="20.25" customHeight="1" x14ac:dyDescent="0.25">
      <c r="B12" s="13" t="s">
        <v>226</v>
      </c>
      <c r="C12" s="14">
        <f>SUMIFS('VENTAS '!$H$4:$H$861,'VENTAS '!$K$4:$K$861,CUMPLIMIENTO!B12)-SUMIFS('VENTAS '!$H$4:$H$861,'VENTAS '!$K$4:$K$861,CUMPLIMIENTO!B12,'VENTAS '!$J$4:$J$861,"BOND")-SUMIFS('VENTAS '!$H$4:$H$861,'VENTAS '!$K$4:$K$861,CUMPLIMIENTO!B12,'VENTAS '!$J$4:$J$861,"ROLLOS PT")-SUMIFS('VENTAS '!$H$4:$H$861,'VENTAS '!$K$4:$K$861,CUMPLIMIENTO!B12,'VENTAS '!$J$4:$J$861,"DIGITAL")-SUMIFS('VENTAS '!$H$4:$H$861,'VENTAS '!$K$4:$K$861,CUMPLIMIENTO!B12,'VENTAS '!$J$4:$J$861,"PROMOCIONALES")-SUMIFS('VENTAS '!$H$4:$H$861,'VENTAS '!$K$4:$K$861,CUMPLIMIENTO!B12,'VENTAS '!$J$4:$J$861,"EMPAQUE")-SUMIFS('VENTAS '!$H$4:$H$861,'VENTAS '!$K$4:$K$861,CUMPLIMIENTO!B12,'VENTAS '!$J$4:$J$861,"EDITORIAL")-SUMIFS('VENTAS '!$H$4:$H$861,'VENTAS '!$K$4:$K$861,CUMPLIMIENTO!B12,'VENTAS '!$J$4:$J$861,"TERMICO")</f>
      </c>
      <c r="D12" s="15">
        <f>SUMIFS('VENTAS '!$H$4:$H$861,'VENTAS '!$K$4:$K$861,CUMPLIMIENTO!B12)-SUMIFS('VENTAS '!$H$4:$H$861,'VENTAS '!$K$4:$K$861,CUMPLIMIENTO!B12,'VENTAS '!$J$4:$J$861,"BOND")-SUMIFS('VENTAS '!$H$4:$H$861,'VENTAS '!$K$4:$K$861,CUMPLIMIENTO!B12,'VENTAS '!$J$4:$J$861,"ROLLOS PT")-SUMIFS('VENTAS '!$H$4:$H$861,'VENTAS '!$K$4:$K$861,CUMPLIMIENTO!B12,'VENTAS '!$J$4:$J$861,"DIGITAL")-SUMIFS('VENTAS '!$H$4:$H$861,'VENTAS '!$K$4:$K$861,CUMPLIMIENTO!B12,'VENTAS '!$J$4:$J$861,"PROMOCIONALES")-SUMIFS('VENTAS '!$H$4:$H$861,'VENTAS '!$K$4:$K$861,CUMPLIMIENTO!B12,'VENTAS '!$J$4:$J$861,"PUBLICOMERCIAL")-SUMIFS('VENTAS '!$H$4:$H$861,'VENTAS '!$K$4:$K$861,CUMPLIMIENTO!B12,'VENTAS '!$J$4:$J$861,"EDITORIAL")-SUMIFS('VENTAS '!$H$4:$H$861,'VENTAS '!$K$4:$K$861,CUMPLIMIENTO!B12,'VENTAS '!$J$4:$J$861,"TERMICO")</f>
      </c>
      <c r="E12" s="15">
        <f>SUMIFS('VENTAS '!$H$4:$H$861,'VENTAS '!$K$4:$K$861,CUMPLIMIENTO!B12)-SUMIFS('VENTAS '!$H$4:$H$861,'VENTAS '!$K$4:$K$861,CUMPLIMIENTO!B12,'VENTAS '!$J$4:$J$861,"BOND")-SUMIFS('VENTAS '!$H$4:$H$861,'VENTAS '!$K$4:$K$861,CUMPLIMIENTO!B12,'VENTAS '!$J$4:$J$861,"ROLLOS PT")-SUMIFS('VENTAS '!$H$4:$H$861,'VENTAS '!$K$4:$K$861,CUMPLIMIENTO!B12,'VENTAS '!$J$4:$J$861,"EMPAQUE")-SUMIFS('VENTAS '!$H$4:$H$861,'VENTAS '!$K$4:$K$861,CUMPLIMIENTO!B12,'VENTAS '!$J$4:$J$861,"PROMOCIONALES")-SUMIFS('VENTAS '!$H$4:$H$861,'VENTAS '!$K$4:$K$861,CUMPLIMIENTO!B12,'VENTAS '!$J$4:$J$861,"PUBLICOMERCIAL")-SUMIFS('VENTAS '!$H$4:$H$861,'VENTAS '!$K$4:$K$861,CUMPLIMIENTO!B12,'VENTAS '!$J$4:$J$861,"EDITORIAL")-SUMIFS('VENTAS '!$H$4:$H$861,'VENTAS '!$K$4:$K$861,CUMPLIMIENTO!B12,'VENTAS '!$J$4:$J$861,"TERMICO")</f>
      </c>
      <c r="F12" s="15">
        <f>SUMIFS('VENTAS '!$H$4:$H$861,'VENTAS '!$K$4:$K$861,CUMPLIMIENTO!B12)-SUMIFS('VENTAS '!$H$4:$H$861,'VENTAS '!$K$4:$K$861,CUMPLIMIENTO!B12,'VENTAS '!$J$4:$J$861,"BOND")-SUMIFS('VENTAS '!$H$4:$H$861,'VENTAS '!$K$4:$K$861,CUMPLIMIENTO!B12,'VENTAS '!$J$4:$J$861,"ROLLOS PT")-SUMIFS('VENTAS '!$H$4:$H$861,'VENTAS '!$K$4:$K$861,CUMPLIMIENTO!B12,'VENTAS '!$J$4:$J$861,"EMPAQUE")-SUMIFS('VENTAS '!$H$4:$H$861,'VENTAS '!$K$4:$K$861,CUMPLIMIENTO!B12,'VENTAS '!$J$4:$J$861,"DIGITAL")-SUMIFS('VENTAS '!$H$4:$H$861,'VENTAS '!$K$4:$K$861,CUMPLIMIENTO!B12,'VENTAS '!$J$4:$J$861,"PUBLICOMERCIAL")-SUMIFS('VENTAS '!$H$4:$H$861,'VENTAS '!$K$4:$K$861,CUMPLIMIENTO!B12,'VENTAS '!$J$4:$J$861,"EDITORIAL")-SUMIFS('VENTAS '!$H$4:$H$861,'VENTAS '!$K$4:$K$861,CUMPLIMIENTO!B12,'VENTAS '!$J$4:$J$861,"TERMICO")</f>
      </c>
      <c r="G12" s="15">
        <f>SUMIFS('VENTAS '!$H$4:$H$861,'VENTAS '!$K$4:$K$861,CUMPLIMIENTO!B12)-SUMIFS('VENTAS '!$H$4:$H$861,'VENTAS '!$K$4:$K$861,CUMPLIMIENTO!B12,'VENTAS '!$J$4:$J$861,"BOND")-SUMIFS('VENTAS '!$H$4:$H$861,'VENTAS '!$K$4:$K$861,CUMPLIMIENTO!B12,'VENTAS '!$J$4:$J$861,"PROMOCIONALES")-SUMIFS('VENTAS '!$H$4:$H$861,'VENTAS '!$K$4:$K$861,CUMPLIMIENTO!B12,'VENTAS '!$J$4:$J$861,"EMPAQUE")-SUMIFS('VENTAS '!$H$4:$H$861,'VENTAS '!$K$4:$K$861,CUMPLIMIENTO!B12,'VENTAS '!$J$4:$J$861,"DIGITAL")-SUMIFS('VENTAS '!$H$4:$H$861,'VENTAS '!$K$4:$K$861,CUMPLIMIENTO!B12,'VENTAS '!$J$4:$J$861,"PUBLICOMERCIAL")-SUMIFS('VENTAS '!$H$4:$H$861,'VENTAS '!$K$4:$K$861,CUMPLIMIENTO!B12,'VENTAS '!$J$4:$J$861,"EDITORIAL")-SUMIFS('VENTAS '!$H$4:$H$861,'VENTAS '!$K$4:$K$861,CUMPLIMIENTO!B12,'VENTAS '!$J$4:$J$861,"TERMICO")</f>
      </c>
      <c r="H12" s="15">
        <f>SUMIFS('VENTAS '!$H$4:$H$861,'VENTAS '!$K$4:$K$861,CUMPLIMIENTO!B12)-SUMIFS('VENTAS '!$H$4:$H$861,'VENTAS '!$K$4:$K$861,CUMPLIMIENTO!B12,'VENTAS '!$J$4:$J$861,"BOND")-SUMIFS('VENTAS '!$H$4:$H$861,'VENTAS '!$K$4:$K$861,CUMPLIMIENTO!B12,'VENTAS '!$J$4:$J$861,"PROMOCIONALES")-SUMIFS('VENTAS '!$H$4:$H$861,'VENTAS '!$K$4:$K$861,CUMPLIMIENTO!B12,'VENTAS '!$J$4:$J$861,"EMPAQUE")-SUMIFS('VENTAS '!$H$4:$H$861,'VENTAS '!$K$4:$K$861,CUMPLIMIENTO!B12,'VENTAS '!$J$4:$J$861,"DIGITAL")-SUMIFS('VENTAS '!$H$4:$H$861,'VENTAS '!$K$4:$K$861,CUMPLIMIENTO!B12,'VENTAS '!$J$4:$J$861,"PUBLICOMERCIAL")-SUMIFS('VENTAS '!$H$4:$H$861,'VENTAS '!$K$4:$K$861,CUMPLIMIENTO!B12,'VENTAS '!$J$4:$J$861,"ROLLOS PT")-SUMIFS('VENTAS '!$H$4:$H$861,'VENTAS '!$K$4:$K$861,CUMPLIMIENTO!B12,'VENTAS '!$J$4:$J$861,"TERMICO")</f>
      </c>
      <c r="I12" s="15">
        <f>SUMIFS('VENTAS '!$H$4:$H$861,'VENTAS '!$K$4:$K$861,CUMPLIMIENTO!B12)-SUMIFS('VENTAS '!$H$4:$H$861,'VENTAS '!$K$4:$K$861,CUMPLIMIENTO!B12,'VENTAS '!$J$4:$J$861,"ROLLOS PT")-SUMIFS('VENTAS '!$H$4:$H$861,'VENTAS '!$K$4:$K$861,CUMPLIMIENTO!B12,'VENTAS '!$J$4:$J$861,"PROMOCIONALES")-SUMIFS('VENTAS '!$H$4:$H$861,'VENTAS '!$K$4:$K$861,CUMPLIMIENTO!B12,'VENTAS '!$J$4:$J$861,"EMPAQUE")-SUMIFS('VENTAS '!$H$4:$H$861,'VENTAS '!$K$4:$K$861,CUMPLIMIENTO!B12,'VENTAS '!$J$4:$J$861,"DIGITAL")-SUMIFS('VENTAS '!$H$4:$H$861,'VENTAS '!$K$4:$K$861,CUMPLIMIENTO!B12,'VENTAS '!$J$4:$J$861,"PUBLICOMERCIAL")-SUMIFS('VENTAS '!$H$4:$H$861,'VENTAS '!$K$4:$K$861,CUMPLIMIENTO!B12,'VENTAS '!$J$4:$J$861,"EDITORIAL")</f>
      </c>
      <c r="J12" s="16">
        <f t="shared" ref="J12:J16" si="5">SUM(C12:I12)</f>
      </c>
      <c r="K12" s="9" t="s">
        <v>226</v>
      </c>
    </row>
    <row r="13" spans="2:12" s="10" customFormat="1" ht="20.25" customHeight="1" x14ac:dyDescent="0.25">
      <c r="B13" s="13" t="s">
        <v>226</v>
      </c>
      <c r="C13" s="14">
        <f>SUMIFS('VENTAS '!$H$4:$H$861,'VENTAS '!$K$4:$K$861,CUMPLIMIENTO!B13)-SUMIFS('VENTAS '!$H$4:$H$861,'VENTAS '!$K$4:$K$861,CUMPLIMIENTO!B13,'VENTAS '!$J$4:$J$861,"BOND")-SUMIFS('VENTAS '!$H$4:$H$861,'VENTAS '!$K$4:$K$861,CUMPLIMIENTO!B13,'VENTAS '!$J$4:$J$861,"ROLLOS PT")-SUMIFS('VENTAS '!$H$4:$H$861,'VENTAS '!$K$4:$K$861,CUMPLIMIENTO!B13,'VENTAS '!$J$4:$J$861,"DIGITAL")-SUMIFS('VENTAS '!$H$4:$H$861,'VENTAS '!$K$4:$K$861,CUMPLIMIENTO!B13,'VENTAS '!$J$4:$J$861,"PROMOCIONALES")-SUMIFS('VENTAS '!$H$4:$H$861,'VENTAS '!$K$4:$K$861,CUMPLIMIENTO!B13,'VENTAS '!$J$4:$J$861,"EMPAQUE")-SUMIFS('VENTAS '!$H$4:$H$861,'VENTAS '!$K$4:$K$861,CUMPLIMIENTO!B13,'VENTAS '!$J$4:$J$861,"EDITORIAL")-SUMIFS('VENTAS '!$H$4:$H$861,'VENTAS '!$K$4:$K$861,CUMPLIMIENTO!B13,'VENTAS '!$J$4:$J$861,"TERMICO")</f>
      </c>
      <c r="D13" s="15">
        <f>SUMIFS('VENTAS '!$H$4:$H$861,'VENTAS '!$K$4:$K$861,CUMPLIMIENTO!B13)-SUMIFS('VENTAS '!$H$4:$H$861,'VENTAS '!$K$4:$K$861,CUMPLIMIENTO!B13,'VENTAS '!$J$4:$J$861,"BOND")-SUMIFS('VENTAS '!$H$4:$H$861,'VENTAS '!$K$4:$K$861,CUMPLIMIENTO!B13,'VENTAS '!$J$4:$J$861,"ROLLOS PT")-SUMIFS('VENTAS '!$H$4:$H$861,'VENTAS '!$K$4:$K$861,CUMPLIMIENTO!B13,'VENTAS '!$J$4:$J$861,"DIGITAL")-SUMIFS('VENTAS '!$H$4:$H$861,'VENTAS '!$K$4:$K$861,CUMPLIMIENTO!B13,'VENTAS '!$J$4:$J$861,"PROMOCIONALES")-SUMIFS('VENTAS '!$H$4:$H$861,'VENTAS '!$K$4:$K$861,CUMPLIMIENTO!B13,'VENTAS '!$J$4:$J$861,"PUBLICOMERCIAL")-SUMIFS('VENTAS '!$H$4:$H$861,'VENTAS '!$K$4:$K$861,CUMPLIMIENTO!B13,'VENTAS '!$J$4:$J$861,"EDITORIAL")-SUMIFS('VENTAS '!$H$4:$H$861,'VENTAS '!$K$4:$K$861,CUMPLIMIENTO!B13,'VENTAS '!$J$4:$J$861,"TERMICO")</f>
      </c>
      <c r="E13" s="15">
        <f>SUMIFS('VENTAS '!$H$4:$H$861,'VENTAS '!$K$4:$K$861,CUMPLIMIENTO!B13)-SUMIFS('VENTAS '!$H$4:$H$861,'VENTAS '!$K$4:$K$861,CUMPLIMIENTO!B13,'VENTAS '!$J$4:$J$861,"BOND")-SUMIFS('VENTAS '!$H$4:$H$861,'VENTAS '!$K$4:$K$861,CUMPLIMIENTO!B13,'VENTAS '!$J$4:$J$861,"ROLLOS PT")-SUMIFS('VENTAS '!$H$4:$H$861,'VENTAS '!$K$4:$K$861,CUMPLIMIENTO!B13,'VENTAS '!$J$4:$J$861,"EMPAQUE")-SUMIFS('VENTAS '!$H$4:$H$861,'VENTAS '!$K$4:$K$861,CUMPLIMIENTO!B13,'VENTAS '!$J$4:$J$861,"PROMOCIONALES")-SUMIFS('VENTAS '!$H$4:$H$861,'VENTAS '!$K$4:$K$861,CUMPLIMIENTO!B13,'VENTAS '!$J$4:$J$861,"PUBLICOMERCIAL")-SUMIFS('VENTAS '!$H$4:$H$861,'VENTAS '!$K$4:$K$861,CUMPLIMIENTO!B13,'VENTAS '!$J$4:$J$861,"EDITORIAL")-SUMIFS('VENTAS '!$H$4:$H$861,'VENTAS '!$K$4:$K$861,CUMPLIMIENTO!B13,'VENTAS '!$J$4:$J$861,"TERMICO")</f>
      </c>
      <c r="F13" s="15">
        <f>SUMIFS('VENTAS '!$H$4:$H$861,'VENTAS '!$K$4:$K$861,CUMPLIMIENTO!B13)-SUMIFS('VENTAS '!$H$4:$H$861,'VENTAS '!$K$4:$K$861,CUMPLIMIENTO!B13,'VENTAS '!$J$4:$J$861,"BOND")-SUMIFS('VENTAS '!$H$4:$H$861,'VENTAS '!$K$4:$K$861,CUMPLIMIENTO!B13,'VENTAS '!$J$4:$J$861,"ROLLOS PT")-SUMIFS('VENTAS '!$H$4:$H$861,'VENTAS '!$K$4:$K$861,CUMPLIMIENTO!B13,'VENTAS '!$J$4:$J$861,"EMPAQUE")-SUMIFS('VENTAS '!$H$4:$H$861,'VENTAS '!$K$4:$K$861,CUMPLIMIENTO!B13,'VENTAS '!$J$4:$J$861,"DIGITAL")-SUMIFS('VENTAS '!$H$4:$H$861,'VENTAS '!$K$4:$K$861,CUMPLIMIENTO!B13,'VENTAS '!$J$4:$J$861,"PUBLICOMERCIAL")-SUMIFS('VENTAS '!$H$4:$H$861,'VENTAS '!$K$4:$K$861,CUMPLIMIENTO!B13,'VENTAS '!$J$4:$J$861,"EDITORIAL")-SUMIFS('VENTAS '!$H$4:$H$861,'VENTAS '!$K$4:$K$861,CUMPLIMIENTO!B13,'VENTAS '!$J$4:$J$861,"TERMICO")</f>
      </c>
      <c r="G13" s="15">
        <f>SUMIFS('VENTAS '!$H$4:$H$861,'VENTAS '!$K$4:$K$861,CUMPLIMIENTO!B13)-SUMIFS('VENTAS '!$H$4:$H$861,'VENTAS '!$K$4:$K$861,CUMPLIMIENTO!B13,'VENTAS '!$J$4:$J$861,"BOND")-SUMIFS('VENTAS '!$H$4:$H$861,'VENTAS '!$K$4:$K$861,CUMPLIMIENTO!B13,'VENTAS '!$J$4:$J$861,"PROMOCIONALES")-SUMIFS('VENTAS '!$H$4:$H$861,'VENTAS '!$K$4:$K$861,CUMPLIMIENTO!B13,'VENTAS '!$J$4:$J$861,"EMPAQUE")-SUMIFS('VENTAS '!$H$4:$H$861,'VENTAS '!$K$4:$K$861,CUMPLIMIENTO!B13,'VENTAS '!$J$4:$J$861,"DIGITAL")-SUMIFS('VENTAS '!$H$4:$H$861,'VENTAS '!$K$4:$K$861,CUMPLIMIENTO!B13,'VENTAS '!$J$4:$J$861,"PUBLICOMERCIAL")-SUMIFS('VENTAS '!$H$4:$H$861,'VENTAS '!$K$4:$K$861,CUMPLIMIENTO!B13,'VENTAS '!$J$4:$J$861,"EDITORIAL")-SUMIFS('VENTAS '!$H$4:$H$861,'VENTAS '!$K$4:$K$861,CUMPLIMIENTO!B13,'VENTAS '!$J$4:$J$861,"TERMICO")</f>
      </c>
      <c r="H13" s="15">
        <f>SUMIFS('VENTAS '!$H$4:$H$861,'VENTAS '!$K$4:$K$861,CUMPLIMIENTO!B13)-SUMIFS('VENTAS '!$H$4:$H$861,'VENTAS '!$K$4:$K$861,CUMPLIMIENTO!B13,'VENTAS '!$J$4:$J$861,"BOND")-SUMIFS('VENTAS '!$H$4:$H$861,'VENTAS '!$K$4:$K$861,CUMPLIMIENTO!B13,'VENTAS '!$J$4:$J$861,"PROMOCIONALES")-SUMIFS('VENTAS '!$H$4:$H$861,'VENTAS '!$K$4:$K$861,CUMPLIMIENTO!B13,'VENTAS '!$J$4:$J$861,"EMPAQUE")-SUMIFS('VENTAS '!$H$4:$H$861,'VENTAS '!$K$4:$K$861,CUMPLIMIENTO!B13,'VENTAS '!$J$4:$J$861,"DIGITAL")-SUMIFS('VENTAS '!$H$4:$H$861,'VENTAS '!$K$4:$K$861,CUMPLIMIENTO!B13,'VENTAS '!$J$4:$J$861,"PUBLICOMERCIAL")-SUMIFS('VENTAS '!$H$4:$H$861,'VENTAS '!$K$4:$K$861,CUMPLIMIENTO!B13,'VENTAS '!$J$4:$J$861,"ROLLOS PT")-SUMIFS('VENTAS '!$H$4:$H$861,'VENTAS '!$K$4:$K$861,CUMPLIMIENTO!B13,'VENTAS '!$J$4:$J$861,"TERMICO")</f>
      </c>
      <c r="I13" s="15">
        <f>SUMIFS('VENTAS '!$H$4:$H$861,'VENTAS '!$K$4:$K$861,CUMPLIMIENTO!B13)-SUMIFS('VENTAS '!$H$4:$H$861,'VENTAS '!$K$4:$K$861,CUMPLIMIENTO!B13,'VENTAS '!$J$4:$J$861,"ROLLOS PT")-SUMIFS('VENTAS '!$H$4:$H$861,'VENTAS '!$K$4:$K$861,CUMPLIMIENTO!B13,'VENTAS '!$J$4:$J$861,"PROMOCIONALES")-SUMIFS('VENTAS '!$H$4:$H$861,'VENTAS '!$K$4:$K$861,CUMPLIMIENTO!B13,'VENTAS '!$J$4:$J$861,"EMPAQUE")-SUMIFS('VENTAS '!$H$4:$H$861,'VENTAS '!$K$4:$K$861,CUMPLIMIENTO!B13,'VENTAS '!$J$4:$J$861,"DIGITAL")-SUMIFS('VENTAS '!$H$4:$H$861,'VENTAS '!$K$4:$K$861,CUMPLIMIENTO!B13,'VENTAS '!$J$4:$J$861,"PUBLICOMERCIAL")-SUMIFS('VENTAS '!$H$4:$H$861,'VENTAS '!$K$4:$K$861,CUMPLIMIENTO!B13,'VENTAS '!$J$4:$J$861,"EDITORIAL")</f>
      </c>
      <c r="J13" s="16">
        <f t="shared" si="5"/>
      </c>
      <c r="K13" s="9" t="s">
        <v>226</v>
      </c>
    </row>
    <row r="14" spans="2:12" s="10" customFormat="1" ht="20.25" customHeight="1" x14ac:dyDescent="0.25">
      <c r="B14" s="13" t="s">
        <v>226</v>
      </c>
      <c r="C14" s="14">
        <f>SUMIFS('VENTAS '!$H$4:$H$861,'VENTAS '!$K$4:$K$861,CUMPLIMIENTO!B14)-SUMIFS('VENTAS '!$H$4:$H$861,'VENTAS '!$K$4:$K$861,CUMPLIMIENTO!B14,'VENTAS '!$J$4:$J$861,"BOND")-SUMIFS('VENTAS '!$H$4:$H$861,'VENTAS '!$K$4:$K$861,CUMPLIMIENTO!B14,'VENTAS '!$J$4:$J$861,"ROLLOS PT")-SUMIFS('VENTAS '!$H$4:$H$861,'VENTAS '!$K$4:$K$861,CUMPLIMIENTO!B14,'VENTAS '!$J$4:$J$861,"DIGITAL")-SUMIFS('VENTAS '!$H$4:$H$861,'VENTAS '!$K$4:$K$861,CUMPLIMIENTO!B14,'VENTAS '!$J$4:$J$861,"PROMOCIONALES")-SUMIFS('VENTAS '!$H$4:$H$861,'VENTAS '!$K$4:$K$861,CUMPLIMIENTO!B14,'VENTAS '!$J$4:$J$861,"EMPAQUE")-SUMIFS('VENTAS '!$H$4:$H$861,'VENTAS '!$K$4:$K$861,CUMPLIMIENTO!B14,'VENTAS '!$J$4:$J$861,"EDITORIAL")-SUMIFS('VENTAS '!$H$4:$H$861,'VENTAS '!$K$4:$K$861,CUMPLIMIENTO!B14,'VENTAS '!$J$4:$J$861,"TERMICO")</f>
      </c>
      <c r="D14" s="15">
        <f>SUMIFS('VENTAS '!$H$4:$H$861,'VENTAS '!$K$4:$K$861,CUMPLIMIENTO!B14)-SUMIFS('VENTAS '!$H$4:$H$861,'VENTAS '!$K$4:$K$861,CUMPLIMIENTO!B14,'VENTAS '!$J$4:$J$861,"BOND")-SUMIFS('VENTAS '!$H$4:$H$861,'VENTAS '!$K$4:$K$861,CUMPLIMIENTO!B14,'VENTAS '!$J$4:$J$861,"ROLLOS PT")-SUMIFS('VENTAS '!$H$4:$H$861,'VENTAS '!$K$4:$K$861,CUMPLIMIENTO!B14,'VENTAS '!$J$4:$J$861,"DIGITAL")-SUMIFS('VENTAS '!$H$4:$H$861,'VENTAS '!$K$4:$K$861,CUMPLIMIENTO!B14,'VENTAS '!$J$4:$J$861,"PROMOCIONALES")-SUMIFS('VENTAS '!$H$4:$H$861,'VENTAS '!$K$4:$K$861,CUMPLIMIENTO!B14,'VENTAS '!$J$4:$J$861,"PUBLICOMERCIAL")-SUMIFS('VENTAS '!$H$4:$H$861,'VENTAS '!$K$4:$K$861,CUMPLIMIENTO!B14,'VENTAS '!$J$4:$J$861,"EDITORIAL")-SUMIFS('VENTAS '!$H$4:$H$861,'VENTAS '!$K$4:$K$861,CUMPLIMIENTO!B14,'VENTAS '!$J$4:$J$861,"TERMICO")</f>
      </c>
      <c r="E14" s="15">
        <f>SUMIFS('VENTAS '!$H$4:$H$861,'VENTAS '!$K$4:$K$861,CUMPLIMIENTO!B14)-SUMIFS('VENTAS '!$H$4:$H$861,'VENTAS '!$K$4:$K$861,CUMPLIMIENTO!B14,'VENTAS '!$J$4:$J$861,"BOND")-SUMIFS('VENTAS '!$H$4:$H$861,'VENTAS '!$K$4:$K$861,CUMPLIMIENTO!B14,'VENTAS '!$J$4:$J$861,"ROLLOS PT")-SUMIFS('VENTAS '!$H$4:$H$861,'VENTAS '!$K$4:$K$861,CUMPLIMIENTO!B14,'VENTAS '!$J$4:$J$861,"EMPAQUE")-SUMIFS('VENTAS '!$H$4:$H$861,'VENTAS '!$K$4:$K$861,CUMPLIMIENTO!B14,'VENTAS '!$J$4:$J$861,"PROMOCIONALES")-SUMIFS('VENTAS '!$H$4:$H$861,'VENTAS '!$K$4:$K$861,CUMPLIMIENTO!B14,'VENTAS '!$J$4:$J$861,"PUBLICOMERCIAL")-SUMIFS('VENTAS '!$H$4:$H$861,'VENTAS '!$K$4:$K$861,CUMPLIMIENTO!B14,'VENTAS '!$J$4:$J$861,"EDITORIAL")-SUMIFS('VENTAS '!$H$4:$H$861,'VENTAS '!$K$4:$K$861,CUMPLIMIENTO!B14,'VENTAS '!$J$4:$J$861,"TERMICO")</f>
      </c>
      <c r="F14" s="15">
        <f>SUMIFS('VENTAS '!$H$4:$H$861,'VENTAS '!$K$4:$K$861,CUMPLIMIENTO!B14)-SUMIFS('VENTAS '!$H$4:$H$861,'VENTAS '!$K$4:$K$861,CUMPLIMIENTO!B14,'VENTAS '!$J$4:$J$861,"BOND")-SUMIFS('VENTAS '!$H$4:$H$861,'VENTAS '!$K$4:$K$861,CUMPLIMIENTO!B14,'VENTAS '!$J$4:$J$861,"ROLLOS PT")-SUMIFS('VENTAS '!$H$4:$H$861,'VENTAS '!$K$4:$K$861,CUMPLIMIENTO!B14,'VENTAS '!$J$4:$J$861,"EMPAQUE")-SUMIFS('VENTAS '!$H$4:$H$861,'VENTAS '!$K$4:$K$861,CUMPLIMIENTO!B14,'VENTAS '!$J$4:$J$861,"DIGITAL")-SUMIFS('VENTAS '!$H$4:$H$861,'VENTAS '!$K$4:$K$861,CUMPLIMIENTO!B14,'VENTAS '!$J$4:$J$861,"PUBLICOMERCIAL")-SUMIFS('VENTAS '!$H$4:$H$861,'VENTAS '!$K$4:$K$861,CUMPLIMIENTO!B14,'VENTAS '!$J$4:$J$861,"EDITORIAL")-SUMIFS('VENTAS '!$H$4:$H$861,'VENTAS '!$K$4:$K$861,CUMPLIMIENTO!B14,'VENTAS '!$J$4:$J$861,"TERMICO")</f>
      </c>
      <c r="G14" s="15">
        <f>SUMIFS('VENTAS '!$H$4:$H$861,'VENTAS '!$K$4:$K$861,CUMPLIMIENTO!B14)-SUMIFS('VENTAS '!$H$4:$H$861,'VENTAS '!$K$4:$K$861,CUMPLIMIENTO!B14,'VENTAS '!$J$4:$J$861,"BOND")-SUMIFS('VENTAS '!$H$4:$H$861,'VENTAS '!$K$4:$K$861,CUMPLIMIENTO!B14,'VENTAS '!$J$4:$J$861,"PROMOCIONALES")-SUMIFS('VENTAS '!$H$4:$H$861,'VENTAS '!$K$4:$K$861,CUMPLIMIENTO!B14,'VENTAS '!$J$4:$J$861,"EMPAQUE")-SUMIFS('VENTAS '!$H$4:$H$861,'VENTAS '!$K$4:$K$861,CUMPLIMIENTO!B14,'VENTAS '!$J$4:$J$861,"DIGITAL")-SUMIFS('VENTAS '!$H$4:$H$861,'VENTAS '!$K$4:$K$861,CUMPLIMIENTO!B14,'VENTAS '!$J$4:$J$861,"PUBLICOMERCIAL")-SUMIFS('VENTAS '!$H$4:$H$861,'VENTAS '!$K$4:$K$861,CUMPLIMIENTO!B14,'VENTAS '!$J$4:$J$861,"EDITORIAL")-SUMIFS('VENTAS '!$H$4:$H$861,'VENTAS '!$K$4:$K$861,CUMPLIMIENTO!B14,'VENTAS '!$J$4:$J$861,"TERMICO")</f>
      </c>
      <c r="H14" s="15">
        <f>SUMIFS('VENTAS '!$H$4:$H$861,'VENTAS '!$K$4:$K$861,CUMPLIMIENTO!B14)-SUMIFS('VENTAS '!$H$4:$H$861,'VENTAS '!$K$4:$K$861,CUMPLIMIENTO!B14,'VENTAS '!$J$4:$J$861,"BOND")-SUMIFS('VENTAS '!$H$4:$H$861,'VENTAS '!$K$4:$K$861,CUMPLIMIENTO!B14,'VENTAS '!$J$4:$J$861,"PROMOCIONALES")-SUMIFS('VENTAS '!$H$4:$H$861,'VENTAS '!$K$4:$K$861,CUMPLIMIENTO!B14,'VENTAS '!$J$4:$J$861,"EMPAQUE")-SUMIFS('VENTAS '!$H$4:$H$861,'VENTAS '!$K$4:$K$861,CUMPLIMIENTO!B14,'VENTAS '!$J$4:$J$861,"DIGITAL")-SUMIFS('VENTAS '!$H$4:$H$861,'VENTAS '!$K$4:$K$861,CUMPLIMIENTO!B14,'VENTAS '!$J$4:$J$861,"PUBLICOMERCIAL")-SUMIFS('VENTAS '!$H$4:$H$861,'VENTAS '!$K$4:$K$861,CUMPLIMIENTO!B14,'VENTAS '!$J$4:$J$861,"ROLLOS PT")-SUMIFS('VENTAS '!$H$4:$H$861,'VENTAS '!$K$4:$K$861,CUMPLIMIENTO!B14,'VENTAS '!$J$4:$J$861,"TERMICO")</f>
      </c>
      <c r="I14" s="15">
        <f>SUMIFS('VENTAS '!$H$4:$H$861,'VENTAS '!$K$4:$K$861,CUMPLIMIENTO!B14)-SUMIFS('VENTAS '!$H$4:$H$861,'VENTAS '!$K$4:$K$861,CUMPLIMIENTO!B14,'VENTAS '!$J$4:$J$861,"ROLLOS PT")-SUMIFS('VENTAS '!$H$4:$H$861,'VENTAS '!$K$4:$K$861,CUMPLIMIENTO!B14,'VENTAS '!$J$4:$J$861,"PROMOCIONALES")-SUMIFS('VENTAS '!$H$4:$H$861,'VENTAS '!$K$4:$K$861,CUMPLIMIENTO!B14,'VENTAS '!$J$4:$J$861,"EMPAQUE")-SUMIFS('VENTAS '!$H$4:$H$861,'VENTAS '!$K$4:$K$861,CUMPLIMIENTO!B14,'VENTAS '!$J$4:$J$861,"DIGITAL")-SUMIFS('VENTAS '!$H$4:$H$861,'VENTAS '!$K$4:$K$861,CUMPLIMIENTO!B14,'VENTAS '!$J$4:$J$861,"PUBLICOMERCIAL")-SUMIFS('VENTAS '!$H$4:$H$861,'VENTAS '!$K$4:$K$861,CUMPLIMIENTO!B14,'VENTAS '!$J$4:$J$861,"EDITORIAL")</f>
      </c>
      <c r="J14" s="16">
        <f t="shared" si="5"/>
      </c>
      <c r="K14" s="9" t="s">
        <v>226</v>
      </c>
    </row>
    <row r="15" spans="2:12" x14ac:dyDescent="0.3">
      <c r="B15" s="65" t="s">
        <v>226</v>
      </c>
      <c r="C15" s="14">
        <f>SUMIFS('VENTAS '!$H$4:$H$861,'VENTAS '!$K$4:$K$861,CUMPLIMIENTO!B15)-SUMIFS('VENTAS '!$H$4:$H$861,'VENTAS '!$K$4:$K$861,CUMPLIMIENTO!B15,'VENTAS '!$J$4:$J$861,"BOND")-SUMIFS('VENTAS '!$H$4:$H$861,'VENTAS '!$K$4:$K$861,CUMPLIMIENTO!B15,'VENTAS '!$J$4:$J$861,"ROLLOS PT")-SUMIFS('VENTAS '!$H$4:$H$861,'VENTAS '!$K$4:$K$861,CUMPLIMIENTO!B15,'VENTAS '!$J$4:$J$861,"DIGITAL")-SUMIFS('VENTAS '!$H$4:$H$861,'VENTAS '!$K$4:$K$861,CUMPLIMIENTO!B15,'VENTAS '!$J$4:$J$861,"PROMOCIONALES")-SUMIFS('VENTAS '!$H$4:$H$861,'VENTAS '!$K$4:$K$861,CUMPLIMIENTO!B15,'VENTAS '!$J$4:$J$861,"EMPAQUE")-SUMIFS('VENTAS '!$H$4:$H$861,'VENTAS '!$K$4:$K$861,CUMPLIMIENTO!B15,'VENTAS '!$J$4:$J$861,"EDITORIAL")-SUMIFS('VENTAS '!$H$4:$H$861,'VENTAS '!$K$4:$K$861,CUMPLIMIENTO!B15,'VENTAS '!$J$4:$J$861,"TERMICO")</f>
      </c>
      <c r="D15" s="15">
        <f>SUMIFS('VENTAS '!$H$4:$H$861,'VENTAS '!$K$4:$K$861,CUMPLIMIENTO!B15)-SUMIFS('VENTAS '!$H$4:$H$861,'VENTAS '!$K$4:$K$861,CUMPLIMIENTO!B15,'VENTAS '!$J$4:$J$861,"BOND")-SUMIFS('VENTAS '!$H$4:$H$861,'VENTAS '!$K$4:$K$861,CUMPLIMIENTO!B15,'VENTAS '!$J$4:$J$861,"ROLLOS PT")-SUMIFS('VENTAS '!$H$4:$H$861,'VENTAS '!$K$4:$K$861,CUMPLIMIENTO!B15,'VENTAS '!$J$4:$J$861,"DIGITAL")-SUMIFS('VENTAS '!$H$4:$H$861,'VENTAS '!$K$4:$K$861,CUMPLIMIENTO!B15,'VENTAS '!$J$4:$J$861,"PROMOCIONALES")-SUMIFS('VENTAS '!$H$4:$H$861,'VENTAS '!$K$4:$K$861,CUMPLIMIENTO!B15,'VENTAS '!$J$4:$J$861,"PUBLICOMERCIAL")-SUMIFS('VENTAS '!$H$4:$H$861,'VENTAS '!$K$4:$K$861,CUMPLIMIENTO!B15,'VENTAS '!$J$4:$J$861,"EDITORIAL")-SUMIFS('VENTAS '!$H$4:$H$861,'VENTAS '!$K$4:$K$861,CUMPLIMIENTO!B15,'VENTAS '!$J$4:$J$861,"TERMICO")</f>
      </c>
      <c r="E15" s="15">
        <f>SUMIFS('VENTAS '!$H$4:$H$861,'VENTAS '!$K$4:$K$861,CUMPLIMIENTO!B15)-SUMIFS('VENTAS '!$H$4:$H$861,'VENTAS '!$K$4:$K$861,CUMPLIMIENTO!B15,'VENTAS '!$J$4:$J$861,"BOND")-SUMIFS('VENTAS '!$H$4:$H$861,'VENTAS '!$K$4:$K$861,CUMPLIMIENTO!B15,'VENTAS '!$J$4:$J$861,"ROLLOS PT")-SUMIFS('VENTAS '!$H$4:$H$861,'VENTAS '!$K$4:$K$861,CUMPLIMIENTO!B15,'VENTAS '!$J$4:$J$861,"EMPAQUE")-SUMIFS('VENTAS '!$H$4:$H$861,'VENTAS '!$K$4:$K$861,CUMPLIMIENTO!B15,'VENTAS '!$J$4:$J$861,"PROMOCIONALES")-SUMIFS('VENTAS '!$H$4:$H$861,'VENTAS '!$K$4:$K$861,CUMPLIMIENTO!B15,'VENTAS '!$J$4:$J$861,"PUBLICOMERCIAL")-SUMIFS('VENTAS '!$H$4:$H$861,'VENTAS '!$K$4:$K$861,CUMPLIMIENTO!B15,'VENTAS '!$J$4:$J$861,"EDITORIAL")-SUMIFS('VENTAS '!$H$4:$H$861,'VENTAS '!$K$4:$K$861,CUMPLIMIENTO!B15,'VENTAS '!$J$4:$J$861,"TERMICO")</f>
      </c>
      <c r="F15" s="15">
        <f>SUMIFS('VENTAS '!$H$4:$H$861,'VENTAS '!$K$4:$K$861,CUMPLIMIENTO!B15)-SUMIFS('VENTAS '!$H$4:$H$861,'VENTAS '!$K$4:$K$861,CUMPLIMIENTO!B15,'VENTAS '!$J$4:$J$861,"BOND")-SUMIFS('VENTAS '!$H$4:$H$861,'VENTAS '!$K$4:$K$861,CUMPLIMIENTO!B15,'VENTAS '!$J$4:$J$861,"ROLLOS PT")-SUMIFS('VENTAS '!$H$4:$H$861,'VENTAS '!$K$4:$K$861,CUMPLIMIENTO!B15,'VENTAS '!$J$4:$J$861,"EMPAQUE")-SUMIFS('VENTAS '!$H$4:$H$861,'VENTAS '!$K$4:$K$861,CUMPLIMIENTO!B15,'VENTAS '!$J$4:$J$861,"DIGITAL")-SUMIFS('VENTAS '!$H$4:$H$861,'VENTAS '!$K$4:$K$861,CUMPLIMIENTO!B15,'VENTAS '!$J$4:$J$861,"PUBLICOMERCIAL")-SUMIFS('VENTAS '!$H$4:$H$861,'VENTAS '!$K$4:$K$861,CUMPLIMIENTO!B15,'VENTAS '!$J$4:$J$861,"EDITORIAL")-SUMIFS('VENTAS '!$H$4:$H$861,'VENTAS '!$K$4:$K$861,CUMPLIMIENTO!B15,'VENTAS '!$J$4:$J$861,"TERMICO")</f>
      </c>
      <c r="G15" s="15">
        <f>SUMIFS('VENTAS '!$H$4:$H$861,'VENTAS '!$K$4:$K$861,CUMPLIMIENTO!B15)-SUMIFS('VENTAS '!$H$4:$H$861,'VENTAS '!$K$4:$K$861,CUMPLIMIENTO!B15,'VENTAS '!$J$4:$J$861,"BOND")-SUMIFS('VENTAS '!$H$4:$H$861,'VENTAS '!$K$4:$K$861,CUMPLIMIENTO!B15,'VENTAS '!$J$4:$J$861,"PROMOCIONALES")-SUMIFS('VENTAS '!$H$4:$H$861,'VENTAS '!$K$4:$K$861,CUMPLIMIENTO!B15,'VENTAS '!$J$4:$J$861,"EMPAQUE")-SUMIFS('VENTAS '!$H$4:$H$861,'VENTAS '!$K$4:$K$861,CUMPLIMIENTO!B15,'VENTAS '!$J$4:$J$861,"DIGITAL")-SUMIFS('VENTAS '!$H$4:$H$861,'VENTAS '!$K$4:$K$861,CUMPLIMIENTO!B15,'VENTAS '!$J$4:$J$861,"PUBLICOMERCIAL")-SUMIFS('VENTAS '!$H$4:$H$861,'VENTAS '!$K$4:$K$861,CUMPLIMIENTO!B15,'VENTAS '!$J$4:$J$861,"EDITORIAL")-SUMIFS('VENTAS '!$H$4:$H$861,'VENTAS '!$K$4:$K$861,CUMPLIMIENTO!B15,'VENTAS '!$J$4:$J$861,"TERMICO")</f>
      </c>
      <c r="H15" s="15">
        <f>SUMIFS('VENTAS '!$H$4:$H$861,'VENTAS '!$K$4:$K$861,CUMPLIMIENTO!B15)-SUMIFS('VENTAS '!$H$4:$H$861,'VENTAS '!$K$4:$K$861,CUMPLIMIENTO!B15,'VENTAS '!$J$4:$J$861,"BOND")-SUMIFS('VENTAS '!$H$4:$H$861,'VENTAS '!$K$4:$K$861,CUMPLIMIENTO!B15,'VENTAS '!$J$4:$J$861,"PROMOCIONALES")-SUMIFS('VENTAS '!$H$4:$H$861,'VENTAS '!$K$4:$K$861,CUMPLIMIENTO!B15,'VENTAS '!$J$4:$J$861,"EMPAQUE")-SUMIFS('VENTAS '!$H$4:$H$861,'VENTAS '!$K$4:$K$861,CUMPLIMIENTO!B15,'VENTAS '!$J$4:$J$861,"DIGITAL")-SUMIFS('VENTAS '!$H$4:$H$861,'VENTAS '!$K$4:$K$861,CUMPLIMIENTO!B15,'VENTAS '!$J$4:$J$861,"PUBLICOMERCIAL")-SUMIFS('VENTAS '!$H$4:$H$861,'VENTAS '!$K$4:$K$861,CUMPLIMIENTO!B15,'VENTAS '!$J$4:$J$861,"ROLLOS PT")-SUMIFS('VENTAS '!$H$4:$H$861,'VENTAS '!$K$4:$K$861,CUMPLIMIENTO!B15,'VENTAS '!$J$4:$J$861,"TERMICO")</f>
      </c>
      <c r="I15" s="15">
        <f>SUMIFS('VENTAS '!$H$4:$H$861,'VENTAS '!$K$4:$K$861,CUMPLIMIENTO!B15)-SUMIFS('VENTAS '!$H$4:$H$861,'VENTAS '!$K$4:$K$861,CUMPLIMIENTO!B15,'VENTAS '!$J$4:$J$861,"ROLLOS PT")-SUMIFS('VENTAS '!$H$4:$H$861,'VENTAS '!$K$4:$K$861,CUMPLIMIENTO!B15,'VENTAS '!$J$4:$J$861,"PROMOCIONALES")-SUMIFS('VENTAS '!$H$4:$H$861,'VENTAS '!$K$4:$K$861,CUMPLIMIENTO!B15,'VENTAS '!$J$4:$J$861,"EMPAQUE")-SUMIFS('VENTAS '!$H$4:$H$861,'VENTAS '!$K$4:$K$861,CUMPLIMIENTO!B15,'VENTAS '!$J$4:$J$861,"DIGITAL")-SUMIFS('VENTAS '!$H$4:$H$861,'VENTAS '!$K$4:$K$861,CUMPLIMIENTO!B15,'VENTAS '!$J$4:$J$861,"PUBLICOMERCIAL")-SUMIFS('VENTAS '!$H$4:$H$861,'VENTAS '!$K$4:$K$861,CUMPLIMIENTO!B15,'VENTAS '!$J$4:$J$861,"EDITORIAL")</f>
      </c>
      <c r="J15" s="16">
        <f t="shared" si="5"/>
      </c>
      <c r="K15" s="9" t="s">
        <v>226</v>
      </c>
      <c r="L15" s="10" t="s">
        <v>226</v>
      </c>
    </row>
    <row r="16" spans="2:12" x14ac:dyDescent="0.3">
      <c r="B16" s="63" t="s">
        <v>226</v>
      </c>
      <c r="C16" s="64">
        <f>SUMIFS('VENTAS '!$H$4:$H$861,'VENTAS '!$K$4:$K$861,CUMPLIMIENTO!B16)-SUMIFS('VENTAS '!$H$4:$H$861,'VENTAS '!$K$4:$K$861,CUMPLIMIENTO!B16,'VENTAS '!$J$4:$J$861,"BOND")-SUMIFS('VENTAS '!$H$4:$H$861,'VENTAS '!$K$4:$K$861,CUMPLIMIENTO!B16,'VENTAS '!$J$4:$J$861,"ROLLOS PT")-SUMIFS('VENTAS '!$H$4:$H$861,'VENTAS '!$K$4:$K$861,CUMPLIMIENTO!B16,'VENTAS '!$J$4:$J$861,"DIGITAL")-SUMIFS('VENTAS '!$H$4:$H$861,'VENTAS '!$K$4:$K$861,CUMPLIMIENTO!B16,'VENTAS '!$J$4:$J$861,"PROMOCIONALES")-SUMIFS('VENTAS '!$H$4:$H$861,'VENTAS '!$K$4:$K$861,CUMPLIMIENTO!B16,'VENTAS '!$J$4:$J$861,"EMPAQUE")-SUMIFS('VENTAS '!$H$4:$H$861,'VENTAS '!$K$4:$K$861,CUMPLIMIENTO!B16,'VENTAS '!$J$4:$J$861,"EDITORIAL")-SUMIFS('VENTAS '!$H$4:$H$861,'VENTAS '!$K$4:$K$861,CUMPLIMIENTO!B16,'VENTAS '!$J$4:$J$861,"TERMICO")</f>
      </c>
      <c r="D16" s="15">
        <f>SUMIFS('VENTAS '!$H$4:$H$861,'VENTAS '!$K$4:$K$861,CUMPLIMIENTO!B16)-SUMIFS('VENTAS '!$H$4:$H$861,'VENTAS '!$K$4:$K$861,CUMPLIMIENTO!B16,'VENTAS '!$J$4:$J$861,"BOND")-SUMIFS('VENTAS '!$H$4:$H$861,'VENTAS '!$K$4:$K$861,CUMPLIMIENTO!B16,'VENTAS '!$J$4:$J$861,"ROLLOS PT")-SUMIFS('VENTAS '!$H$4:$H$861,'VENTAS '!$K$4:$K$861,CUMPLIMIENTO!B16,'VENTAS '!$J$4:$J$861,"DIGITAL")-SUMIFS('VENTAS '!$H$4:$H$861,'VENTAS '!$K$4:$K$861,CUMPLIMIENTO!B16,'VENTAS '!$J$4:$J$861,"PROMOCIONALES")-SUMIFS('VENTAS '!$H$4:$H$861,'VENTAS '!$K$4:$K$861,CUMPLIMIENTO!B16,'VENTAS '!$J$4:$J$861,"PUBLICOMERCIAL")-SUMIFS('VENTAS '!$H$4:$H$861,'VENTAS '!$K$4:$K$861,CUMPLIMIENTO!B16,'VENTAS '!$J$4:$J$861,"EDITORIAL")-SUMIFS('VENTAS '!$H$4:$H$861,'VENTAS '!$K$4:$K$861,CUMPLIMIENTO!B16,'VENTAS '!$J$4:$J$861,"TERMICO")</f>
      </c>
      <c r="E16" s="15">
        <f>SUMIFS('VENTAS '!$H$4:$H$861,'VENTAS '!$K$4:$K$861,CUMPLIMIENTO!B16)-SUMIFS('VENTAS '!$H$4:$H$861,'VENTAS '!$K$4:$K$861,CUMPLIMIENTO!B16,'VENTAS '!$J$4:$J$861,"BOND")-SUMIFS('VENTAS '!$H$4:$H$861,'VENTAS '!$K$4:$K$861,CUMPLIMIENTO!B16,'VENTAS '!$J$4:$J$861,"ROLLOS PT")-SUMIFS('VENTAS '!$H$4:$H$861,'VENTAS '!$K$4:$K$861,CUMPLIMIENTO!B16,'VENTAS '!$J$4:$J$861,"EMPAQUE")-SUMIFS('VENTAS '!$H$4:$H$861,'VENTAS '!$K$4:$K$861,CUMPLIMIENTO!B16,'VENTAS '!$J$4:$J$861,"PROMOCIONALES")-SUMIFS('VENTAS '!$H$4:$H$861,'VENTAS '!$K$4:$K$861,CUMPLIMIENTO!B16,'VENTAS '!$J$4:$J$861,"PUBLICOMERCIAL")-SUMIFS('VENTAS '!$H$4:$H$861,'VENTAS '!$K$4:$K$861,CUMPLIMIENTO!B16,'VENTAS '!$J$4:$J$861,"EDITORIAL")-SUMIFS('VENTAS '!$H$4:$H$861,'VENTAS '!$K$4:$K$861,CUMPLIMIENTO!B16,'VENTAS '!$J$4:$J$861,"TERMICO")</f>
      </c>
      <c r="F16" s="15">
        <f>SUMIFS('VENTAS '!$H$4:$H$861,'VENTAS '!$K$4:$K$861,CUMPLIMIENTO!B16)-SUMIFS('VENTAS '!$H$4:$H$861,'VENTAS '!$K$4:$K$861,CUMPLIMIENTO!B16,'VENTAS '!$J$4:$J$861,"BOND")-SUMIFS('VENTAS '!$H$4:$H$861,'VENTAS '!$K$4:$K$861,CUMPLIMIENTO!B16,'VENTAS '!$J$4:$J$861,"ROLLOS PT")-SUMIFS('VENTAS '!$H$4:$H$861,'VENTAS '!$K$4:$K$861,CUMPLIMIENTO!B16,'VENTAS '!$J$4:$J$861,"EMPAQUE")-SUMIFS('VENTAS '!$H$4:$H$861,'VENTAS '!$K$4:$K$861,CUMPLIMIENTO!B16,'VENTAS '!$J$4:$J$861,"DIGITAL")-SUMIFS('VENTAS '!$H$4:$H$861,'VENTAS '!$K$4:$K$861,CUMPLIMIENTO!B16,'VENTAS '!$J$4:$J$861,"PUBLICOMERCIAL")-SUMIFS('VENTAS '!$H$4:$H$861,'VENTAS '!$K$4:$K$861,CUMPLIMIENTO!B16,'VENTAS '!$J$4:$J$861,"EDITORIAL")-SUMIFS('VENTAS '!$H$4:$H$861,'VENTAS '!$K$4:$K$861,CUMPLIMIENTO!B16,'VENTAS '!$J$4:$J$861,"TERMICO")</f>
      </c>
      <c r="G16" s="15">
        <f>SUMIFS('VENTAS '!$H$4:$H$861,'VENTAS '!$K$4:$K$861,CUMPLIMIENTO!B16)-SUMIFS('VENTAS '!$H$4:$H$861,'VENTAS '!$K$4:$K$861,CUMPLIMIENTO!B16,'VENTAS '!$J$4:$J$861,"BOND")-SUMIFS('VENTAS '!$H$4:$H$861,'VENTAS '!$K$4:$K$861,CUMPLIMIENTO!B16,'VENTAS '!$J$4:$J$861,"PROMOCIONALES")-SUMIFS('VENTAS '!$H$4:$H$861,'VENTAS '!$K$4:$K$861,CUMPLIMIENTO!B16,'VENTAS '!$J$4:$J$861,"EMPAQUE")-SUMIFS('VENTAS '!$H$4:$H$861,'VENTAS '!$K$4:$K$861,CUMPLIMIENTO!B16,'VENTAS '!$J$4:$J$861,"DIGITAL")-SUMIFS('VENTAS '!$H$4:$H$861,'VENTAS '!$K$4:$K$861,CUMPLIMIENTO!B16,'VENTAS '!$J$4:$J$861,"PUBLICOMERCIAL")-SUMIFS('VENTAS '!$H$4:$H$861,'VENTAS '!$K$4:$K$861,CUMPLIMIENTO!B16,'VENTAS '!$J$4:$J$861,"EDITORIAL")-SUMIFS('VENTAS '!$H$4:$H$861,'VENTAS '!$K$4:$K$861,CUMPLIMIENTO!B16,'VENTAS '!$J$4:$J$861,"TERMICO")</f>
      </c>
      <c r="H16" s="15">
        <f>SUMIFS('VENTAS '!$H$4:$H$861,'VENTAS '!$K$4:$K$861,CUMPLIMIENTO!B16)-SUMIFS('VENTAS '!$H$4:$H$861,'VENTAS '!$K$4:$K$861,CUMPLIMIENTO!B16,'VENTAS '!$J$4:$J$861,"BOND")-SUMIFS('VENTAS '!$H$4:$H$861,'VENTAS '!$K$4:$K$861,CUMPLIMIENTO!B16,'VENTAS '!$J$4:$J$861,"PROMOCIONALES")-SUMIFS('VENTAS '!$H$4:$H$861,'VENTAS '!$K$4:$K$861,CUMPLIMIENTO!B16,'VENTAS '!$J$4:$J$861,"EMPAQUE")-SUMIFS('VENTAS '!$H$4:$H$861,'VENTAS '!$K$4:$K$861,CUMPLIMIENTO!B16,'VENTAS '!$J$4:$J$861,"DIGITAL")-SUMIFS('VENTAS '!$H$4:$H$861,'VENTAS '!$K$4:$K$861,CUMPLIMIENTO!B16,'VENTAS '!$J$4:$J$861,"PUBLICOMERCIAL")-SUMIFS('VENTAS '!$H$4:$H$861,'VENTAS '!$K$4:$K$861,CUMPLIMIENTO!B16,'VENTAS '!$J$4:$J$861,"ROLLOS PT")-SUMIFS('VENTAS '!$H$4:$H$861,'VENTAS '!$K$4:$K$861,CUMPLIMIENTO!B16,'VENTAS '!$J$4:$J$861,"TERMICO")</f>
      </c>
      <c r="I16" s="15">
        <f>SUMIFS('VENTAS '!$H$4:$H$861,'VENTAS '!$K$4:$K$861,CUMPLIMIENTO!B16)-SUMIFS('VENTAS '!$H$4:$H$861,'VENTAS '!$K$4:$K$861,CUMPLIMIENTO!B16,'VENTAS '!$J$4:$J$861,"ROLLOS PT")-SUMIFS('VENTAS '!$H$4:$H$861,'VENTAS '!$K$4:$K$861,CUMPLIMIENTO!B16,'VENTAS '!$J$4:$J$861,"PROMOCIONALES")-SUMIFS('VENTAS '!$H$4:$H$861,'VENTAS '!$K$4:$K$861,CUMPLIMIENTO!B16,'VENTAS '!$J$4:$J$861,"EMPAQUE")-SUMIFS('VENTAS '!$H$4:$H$861,'VENTAS '!$K$4:$K$861,CUMPLIMIENTO!B16,'VENTAS '!$J$4:$J$861,"DIGITAL")-SUMIFS('VENTAS '!$H$4:$H$861,'VENTAS '!$K$4:$K$861,CUMPLIMIENTO!B16,'VENTAS '!$J$4:$J$861,"PUBLICOMERCIAL")-SUMIFS('VENTAS '!$H$4:$H$861,'VENTAS '!$K$4:$K$861,CUMPLIMIENTO!B16,'VENTAS '!$J$4:$J$861,"EDITORIAL")</f>
      </c>
      <c r="J16" s="16">
        <f t="shared" si="5"/>
      </c>
      <c r="K16" s="9" t="s">
        <v>226</v>
      </c>
      <c r="L16" s="10" t="s">
        <v>226</v>
      </c>
    </row>
    <row r="17" spans="2:12" s="20" customFormat="1" ht="38.25" customHeight="1" x14ac:dyDescent="0.3">
      <c r="B17" s="66" t="s">
        <v>32</v>
      </c>
      <c r="C17" s="5" t="s">
        <v>15</v>
      </c>
      <c r="D17" s="5" t="s">
        <v>10</v>
      </c>
      <c r="E17" s="5" t="s">
        <v>18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24</v>
      </c>
      <c r="K17" s="18"/>
      <c r="L17" s="19"/>
    </row>
    <row r="18" spans="2:12" s="10" customFormat="1" ht="20.25" customHeight="1" x14ac:dyDescent="0.25">
      <c r="B18" s="67" t="s">
        <v>226</v>
      </c>
      <c r="C18" s="14">
        <f>SUMIFS('VENTAS '!$H$4:$H$861,'VENTAS '!$K$4:$K$861,CUMPLIMIENTO!B18)-SUMIFS('VENTAS '!$H$4:$H$861,'VENTAS '!$K$4:$K$861,CUMPLIMIENTO!B18,'VENTAS '!$J$4:$J$861,"BOND")-SUMIFS('VENTAS '!$H$4:$H$861,'VENTAS '!$K$4:$K$861,CUMPLIMIENTO!B18,'VENTAS '!$J$4:$J$861,"ROLLOS PT")-SUMIFS('VENTAS '!$H$4:$H$861,'VENTAS '!$K$4:$K$861,CUMPLIMIENTO!B18,'VENTAS '!$J$4:$J$861,"DIGITAL")-SUMIFS('VENTAS '!$H$4:$H$861,'VENTAS '!$K$4:$K$861,CUMPLIMIENTO!B18,'VENTAS '!$J$4:$J$861,"PROMOCIONALES")-SUMIFS('VENTAS '!$H$4:$H$861,'VENTAS '!$K$4:$K$861,CUMPLIMIENTO!B18,'VENTAS '!$J$4:$J$861,"EMPAQUE")-SUMIFS('VENTAS '!$H$4:$H$861,'VENTAS '!$K$4:$K$861,CUMPLIMIENTO!B18,'VENTAS '!$J$4:$J$861,"EDITORIAL")-SUMIFS('VENTAS '!$H$4:$H$861,'VENTAS '!$K$4:$K$861,CUMPLIMIENTO!B18,'VENTAS '!$J$4:$J$861,"TERMICO")</f>
      </c>
      <c r="D18" s="15">
        <f>SUMIFS('VENTAS '!$H$4:$H$861,'VENTAS '!$K$4:$K$861,CUMPLIMIENTO!B18)-SUMIFS('VENTAS '!$H$4:$H$861,'VENTAS '!$K$4:$K$861,CUMPLIMIENTO!B18,'VENTAS '!$J$4:$J$861,"BOND")-SUMIFS('VENTAS '!$H$4:$H$861,'VENTAS '!$K$4:$K$861,CUMPLIMIENTO!B18,'VENTAS '!$J$4:$J$861,"ROLLOS PT")-SUMIFS('VENTAS '!$H$4:$H$861,'VENTAS '!$K$4:$K$861,CUMPLIMIENTO!B18,'VENTAS '!$J$4:$J$861,"DIGITAL")-SUMIFS('VENTAS '!$H$4:$H$861,'VENTAS '!$K$4:$K$861,CUMPLIMIENTO!B18,'VENTAS '!$J$4:$J$861,"PROMOCIONALES")-SUMIFS('VENTAS '!$H$4:$H$861,'VENTAS '!$K$4:$K$861,CUMPLIMIENTO!B18,'VENTAS '!$J$4:$J$861,"PUBLICOMERCIAL")-SUMIFS('VENTAS '!$H$4:$H$861,'VENTAS '!$K$4:$K$861,CUMPLIMIENTO!B18,'VENTAS '!$J$4:$J$861,"EDITORIAL")-SUMIFS('VENTAS '!$H$4:$H$861,'VENTAS '!$K$4:$K$861,CUMPLIMIENTO!B18,'VENTAS '!$J$4:$J$861,"TERMICO")</f>
      </c>
      <c r="E18" s="15">
        <f>SUMIFS('VENTAS '!$H$4:$H$861,'VENTAS '!$K$4:$K$861,CUMPLIMIENTO!B18)-SUMIFS('VENTAS '!$H$4:$H$861,'VENTAS '!$K$4:$K$861,CUMPLIMIENTO!B18,'VENTAS '!$J$4:$J$861,"BOND")-SUMIFS('VENTAS '!$H$4:$H$861,'VENTAS '!$K$4:$K$861,CUMPLIMIENTO!B18,'VENTAS '!$J$4:$J$861,"ROLLOS PT")-SUMIFS('VENTAS '!$H$4:$H$861,'VENTAS '!$K$4:$K$861,CUMPLIMIENTO!B18,'VENTAS '!$J$4:$J$861,"EMPAQUE")-SUMIFS('VENTAS '!$H$4:$H$861,'VENTAS '!$K$4:$K$861,CUMPLIMIENTO!B18,'VENTAS '!$J$4:$J$861,"PROMOCIONALES")-SUMIFS('VENTAS '!$H$4:$H$861,'VENTAS '!$K$4:$K$861,CUMPLIMIENTO!B18,'VENTAS '!$J$4:$J$861,"PUBLICOMERCIAL")-SUMIFS('VENTAS '!$H$4:$H$861,'VENTAS '!$K$4:$K$861,CUMPLIMIENTO!B18,'VENTAS '!$J$4:$J$861,"EDITORIAL")-SUMIFS('VENTAS '!$H$4:$H$861,'VENTAS '!$K$4:$K$861,CUMPLIMIENTO!B18,'VENTAS '!$J$4:$J$861,"TERMICO")</f>
      </c>
      <c r="F18" s="15">
        <f>SUMIFS('VENTAS '!$H$4:$H$861,'VENTAS '!$K$4:$K$861,CUMPLIMIENTO!B18)-SUMIFS('VENTAS '!$H$4:$H$861,'VENTAS '!$K$4:$K$861,CUMPLIMIENTO!B18,'VENTAS '!$J$4:$J$861,"BOND")-SUMIFS('VENTAS '!$H$4:$H$861,'VENTAS '!$K$4:$K$861,CUMPLIMIENTO!B18,'VENTAS '!$J$4:$J$861,"ROLLOS PT")-SUMIFS('VENTAS '!$H$4:$H$861,'VENTAS '!$K$4:$K$861,CUMPLIMIENTO!B18,'VENTAS '!$J$4:$J$861,"EMPAQUE")-SUMIFS('VENTAS '!$H$4:$H$861,'VENTAS '!$K$4:$K$861,CUMPLIMIENTO!B18,'VENTAS '!$J$4:$J$861,"DIGITAL")-SUMIFS('VENTAS '!$H$4:$H$861,'VENTAS '!$K$4:$K$861,CUMPLIMIENTO!B18,'VENTAS '!$J$4:$J$861,"PUBLICOMERCIAL")-SUMIFS('VENTAS '!$H$4:$H$861,'VENTAS '!$K$4:$K$861,CUMPLIMIENTO!B18,'VENTAS '!$J$4:$J$861,"EDITORIAL")-SUMIFS('VENTAS '!$H$4:$H$861,'VENTAS '!$K$4:$K$861,CUMPLIMIENTO!B18,'VENTAS '!$J$4:$J$861,"TERMICO")</f>
      </c>
      <c r="G18" s="15">
        <f>SUMIFS('VENTAS '!$H$4:$H$861,'VENTAS '!$K$4:$K$861,CUMPLIMIENTO!B18)-SUMIFS('VENTAS '!$H$4:$H$861,'VENTAS '!$K$4:$K$861,CUMPLIMIENTO!B18,'VENTAS '!$J$4:$J$861,"BOND")-SUMIFS('VENTAS '!$H$4:$H$861,'VENTAS '!$K$4:$K$861,CUMPLIMIENTO!B18,'VENTAS '!$J$4:$J$861,"PROMOCIONALES")-SUMIFS('VENTAS '!$H$4:$H$861,'VENTAS '!$K$4:$K$861,CUMPLIMIENTO!B18,'VENTAS '!$J$4:$J$861,"EMPAQUE")-SUMIFS('VENTAS '!$H$4:$H$861,'VENTAS '!$K$4:$K$861,CUMPLIMIENTO!B18,'VENTAS '!$J$4:$J$861,"DIGITAL")-SUMIFS('VENTAS '!$H$4:$H$861,'VENTAS '!$K$4:$K$861,CUMPLIMIENTO!B18,'VENTAS '!$J$4:$J$861,"PUBLICOMERCIAL")-SUMIFS('VENTAS '!$H$4:$H$861,'VENTAS '!$K$4:$K$861,CUMPLIMIENTO!B18,'VENTAS '!$J$4:$J$861,"EDITORIAL")-SUMIFS('VENTAS '!$H$4:$H$861,'VENTAS '!$K$4:$K$861,CUMPLIMIENTO!B18,'VENTAS '!$J$4:$J$861,"TERMICO")</f>
      </c>
      <c r="H18" s="15">
        <f>SUMIFS('VENTAS '!$H$4:$H$861,'VENTAS '!$K$4:$K$861,CUMPLIMIENTO!B18)-SUMIFS('VENTAS '!$H$4:$H$861,'VENTAS '!$K$4:$K$861,CUMPLIMIENTO!B18,'VENTAS '!$J$4:$J$861,"BOND")-SUMIFS('VENTAS '!$H$4:$H$861,'VENTAS '!$K$4:$K$861,CUMPLIMIENTO!B18,'VENTAS '!$J$4:$J$861,"PROMOCIONALES")-SUMIFS('VENTAS '!$H$4:$H$861,'VENTAS '!$K$4:$K$861,CUMPLIMIENTO!B18,'VENTAS '!$J$4:$J$861,"EMPAQUE")-SUMIFS('VENTAS '!$H$4:$H$861,'VENTAS '!$K$4:$K$861,CUMPLIMIENTO!B18,'VENTAS '!$J$4:$J$861,"DIGITAL")-SUMIFS('VENTAS '!$H$4:$H$861,'VENTAS '!$K$4:$K$861,CUMPLIMIENTO!B18,'VENTAS '!$J$4:$J$861,"PUBLICOMERCIAL")-SUMIFS('VENTAS '!$H$4:$H$861,'VENTAS '!$K$4:$K$861,CUMPLIMIENTO!B18,'VENTAS '!$J$4:$J$861,"ROLLOS PT")-SUMIFS('VENTAS '!$H$4:$H$861,'VENTAS '!$K$4:$K$861,CUMPLIMIENTO!B18,'VENTAS '!$J$4:$J$861,"TERMICO")</f>
      </c>
      <c r="I18" s="15">
        <f>SUMIFS('VENTAS '!$H$4:$H$861,'VENTAS '!$K$4:$K$861,CUMPLIMIENTO!B18)-SUMIFS('VENTAS '!$H$4:$H$861,'VENTAS '!$K$4:$K$861,CUMPLIMIENTO!B18,'VENTAS '!$J$4:$J$861,"ROLLOS PT")-SUMIFS('VENTAS '!$H$4:$H$861,'VENTAS '!$K$4:$K$861,CUMPLIMIENTO!B18,'VENTAS '!$J$4:$J$861,"PROMOCIONALES")-SUMIFS('VENTAS '!$H$4:$H$861,'VENTAS '!$K$4:$K$861,CUMPLIMIENTO!B18,'VENTAS '!$J$4:$J$861,"EMPAQUE")-SUMIFS('VENTAS '!$H$4:$H$861,'VENTAS '!$K$4:$K$861,CUMPLIMIENTO!B18,'VENTAS '!$J$4:$J$861,"DIGITAL")-SUMIFS('VENTAS '!$H$4:$H$861,'VENTAS '!$K$4:$K$861,CUMPLIMIENTO!B18,'VENTAS '!$J$4:$J$861,"PUBLICOMERCIAL")-SUMIFS('VENTAS '!$H$4:$H$861,'VENTAS '!$K$4:$K$861,CUMPLIMIENTO!B18,'VENTAS '!$J$4:$J$861,"EDITORIAL")</f>
      </c>
      <c r="J18" s="27">
        <f t="shared" ref="J18" si="6">SUM(C18:I18)</f>
      </c>
      <c r="K18" s="9" t="s">
        <v>226</v>
      </c>
    </row>
    <row r="19" spans="2:12" x14ac:dyDescent="0.3">
      <c r="B19" s="10" t="s">
        <v>226</v>
      </c>
      <c r="C19" s="10" t="s">
        <v>226</v>
      </c>
      <c r="D19" s="10" t="s">
        <v>226</v>
      </c>
      <c r="E19" s="10" t="s">
        <v>226</v>
      </c>
      <c r="F19" s="10" t="s">
        <v>226</v>
      </c>
      <c r="G19" s="10" t="s">
        <v>226</v>
      </c>
      <c r="H19" s="10" t="s">
        <v>226</v>
      </c>
      <c r="I19" s="10" t="s">
        <v>226</v>
      </c>
      <c r="J19" s="10" t="s">
        <v>226</v>
      </c>
      <c r="K19" s="9" t="s">
        <v>226</v>
      </c>
      <c r="L19" s="10" t="s">
        <v>226</v>
      </c>
    </row>
    <row r="20" spans="2:12" x14ac:dyDescent="0.3">
      <c r="B20" s="21" t="s">
        <v>226</v>
      </c>
      <c r="C20" s="21" t="s">
        <v>226</v>
      </c>
      <c r="D20" s="10" t="s">
        <v>226</v>
      </c>
      <c r="E20" s="10" t="s">
        <v>226</v>
      </c>
      <c r="F20" s="10" t="s">
        <v>226</v>
      </c>
      <c r="G20" s="10" t="s">
        <v>226</v>
      </c>
      <c r="H20" s="10" t="s">
        <v>226</v>
      </c>
      <c r="I20" s="10" t="s">
        <v>226</v>
      </c>
      <c r="J20" s="10" t="s">
        <v>226</v>
      </c>
      <c r="K20" s="9" t="s">
        <v>226</v>
      </c>
      <c r="L20" s="10" t="s">
        <v>226</v>
      </c>
    </row>
    <row r="21" spans="2:12" ht="20.25" customHeight="1" x14ac:dyDescent="0.3">
      <c r="B21" s="7" t="s">
        <v>34</v>
      </c>
      <c r="C21" s="8">
        <f t="shared" ref="C21:I21" si="7">SUM(C3:C20)</f>
      </c>
      <c r="D21" s="8">
        <f t="shared" si="7"/>
      </c>
      <c r="E21" s="8">
        <f t="shared" si="7"/>
      </c>
      <c r="F21" s="8">
        <f t="shared" si="7"/>
      </c>
      <c r="G21" s="8">
        <f t="shared" si="7"/>
      </c>
      <c r="H21" s="8">
        <f t="shared" si="7"/>
      </c>
      <c r="I21" s="8">
        <f t="shared" si="7"/>
      </c>
      <c r="J21" s="8">
        <f t="shared" ref="J21" si="8">SUM(J3:J20)</f>
      </c>
      <c r="K21" s="9" t="s">
        <v>226</v>
      </c>
      <c r="L21" s="10" t="s">
        <v>226</v>
      </c>
    </row>
    <row r="22" spans="2:12" x14ac:dyDescent="0.3">
      <c r="B22" s="21" t="s">
        <v>226</v>
      </c>
      <c r="C22" s="21" t="s">
        <v>226</v>
      </c>
      <c r="D22" s="10" t="s">
        <v>226</v>
      </c>
      <c r="E22" s="10" t="s">
        <v>226</v>
      </c>
      <c r="F22" s="10" t="s">
        <v>226</v>
      </c>
      <c r="G22" s="10" t="s">
        <v>226</v>
      </c>
      <c r="H22" s="10" t="s">
        <v>226</v>
      </c>
      <c r="I22" s="10" t="s">
        <v>226</v>
      </c>
      <c r="J22" s="10" t="s">
        <v>226</v>
      </c>
      <c r="K22" s="9" t="s">
        <v>226</v>
      </c>
      <c r="L22" s="10" t="s">
        <v>226</v>
      </c>
    </row>
    <row r="23" spans="2:12" ht="27" customHeight="1" x14ac:dyDescent="0.3">
      <c r="B23" s="100" t="s">
        <v>35</v>
      </c>
      <c r="C23" s="100" t="s">
        <v>226</v>
      </c>
      <c r="D23" s="100" t="s">
        <v>226</v>
      </c>
      <c r="E23" s="100" t="s">
        <v>226</v>
      </c>
      <c r="F23" s="100" t="s">
        <v>226</v>
      </c>
      <c r="G23" s="100" t="s">
        <v>226</v>
      </c>
      <c r="H23" s="100" t="s">
        <v>226</v>
      </c>
      <c r="I23" s="100" t="s">
        <v>226</v>
      </c>
      <c r="J23" s="8">
        <f>+J21-'VENTAS '!H2</f>
      </c>
      <c r="L23" s="24" t="s">
        <v>226</v>
      </c>
    </row>
    <row r="24" spans="2:12" x14ac:dyDescent="0.3">
      <c r="B24" s="23" t="s">
        <v>226</v>
      </c>
      <c r="C24" s="23" t="s">
        <v>226</v>
      </c>
    </row>
    <row r="25" spans="2:12" x14ac:dyDescent="0.3">
      <c r="B25" s="23" t="s">
        <v>226</v>
      </c>
      <c r="C25" s="23" t="s">
        <v>226</v>
      </c>
    </row>
    <row r="26" spans="2:12" ht="24" customHeight="1" x14ac:dyDescent="0.3">
      <c r="B26" s="25" t="s">
        <v>36</v>
      </c>
      <c r="C26" s="14">
        <f>+C21+D21+E21+F21+H21</f>
      </c>
    </row>
    <row r="27" spans="2:12" ht="24" customHeight="1" x14ac:dyDescent="0.3">
      <c r="B27" s="25" t="s">
        <v>21</v>
      </c>
      <c r="C27" s="14">
        <f>+G21</f>
      </c>
    </row>
    <row r="28" spans="2:12" ht="24" customHeight="1" x14ac:dyDescent="0.3">
      <c r="B28" s="25" t="s">
        <v>37</v>
      </c>
      <c r="C28" s="14">
        <f>+I21</f>
      </c>
    </row>
    <row r="29" spans="2:12" ht="24" customHeight="1" x14ac:dyDescent="0.3">
      <c r="B29" s="25" t="s">
        <v>38</v>
      </c>
      <c r="C29" s="8">
        <f>SUM(C26:C28)</f>
      </c>
    </row>
    <row r="30" spans="2:12" x14ac:dyDescent="0.3">
      <c r="B30" s="23" t="s">
        <v>226</v>
      </c>
      <c r="C30" s="23" t="s">
        <v>226</v>
      </c>
    </row>
    <row r="31" spans="2:12" x14ac:dyDescent="0.3">
      <c r="B31" s="28" t="s">
        <v>25</v>
      </c>
      <c r="C31" s="90" t="s">
        <v>226</v>
      </c>
      <c r="D31" s="89" t="s">
        <v>226</v>
      </c>
      <c r="E31" s="89" t="s">
        <v>226</v>
      </c>
      <c r="F31" s="89" t="s">
        <v>226</v>
      </c>
    </row>
    <row r="32" spans="2:12" x14ac:dyDescent="0.3">
      <c r="B32" s="28" t="s">
        <v>39</v>
      </c>
      <c r="C32" s="29">
        <f>C26+C27</f>
      </c>
    </row>
    <row r="33" spans="2:3" x14ac:dyDescent="0.3">
      <c r="B33" s="28" t="s">
        <v>40</v>
      </c>
      <c r="C33" s="30">
        <f>IFERROR(C32/C31,0)</f>
      </c>
    </row>
    <row r="34" spans="2:3" x14ac:dyDescent="0.3">
      <c r="B34" s="28" t="s">
        <v>41</v>
      </c>
      <c r="C34" s="31">
        <f>C32-C31</f>
      </c>
    </row>
    <row r="35" spans="2:3" x14ac:dyDescent="0.3">
      <c r="B35" s="23" t="s">
        <v>226</v>
      </c>
      <c r="C35" s="23" t="s">
        <v>226</v>
      </c>
    </row>
    <row r="36" spans="2:3" x14ac:dyDescent="0.3">
      <c r="B36" s="23" t="s">
        <v>226</v>
      </c>
      <c r="C36" s="68" t="s">
        <v>226</v>
      </c>
    </row>
    <row r="37" spans="2:3" x14ac:dyDescent="0.3">
      <c r="B37" s="23" t="s">
        <v>226</v>
      </c>
      <c r="C37" s="69" t="s">
        <v>226</v>
      </c>
    </row>
    <row r="38" spans="2:3" x14ac:dyDescent="0.3">
      <c r="B38" s="23" t="s">
        <v>226</v>
      </c>
      <c r="C38" s="70" t="s">
        <v>226</v>
      </c>
    </row>
    <row r="39" spans="2:3" x14ac:dyDescent="0.3">
      <c r="B39" s="23" t="s">
        <v>226</v>
      </c>
      <c r="C39" s="23" t="s">
        <v>226</v>
      </c>
    </row>
    <row r="40" spans="2:3" x14ac:dyDescent="0.3">
      <c r="B40" s="23" t="s">
        <v>226</v>
      </c>
      <c r="C40" s="23" t="s">
        <v>226</v>
      </c>
    </row>
    <row r="41" spans="2:3" x14ac:dyDescent="0.3">
      <c r="B41" s="23" t="s">
        <v>226</v>
      </c>
      <c r="C41" s="23" t="s">
        <v>226</v>
      </c>
    </row>
    <row r="42" spans="2:3" x14ac:dyDescent="0.3">
      <c r="B42" s="23" t="s">
        <v>226</v>
      </c>
      <c r="C42" s="23" t="s">
        <v>226</v>
      </c>
    </row>
    <row r="43" spans="2:3" x14ac:dyDescent="0.3">
      <c r="B43" s="23" t="s">
        <v>226</v>
      </c>
      <c r="C43" s="23" t="s">
        <v>226</v>
      </c>
    </row>
    <row r="44" spans="2:3" x14ac:dyDescent="0.3">
      <c r="B44" s="23" t="s">
        <v>226</v>
      </c>
      <c r="C44" s="23" t="s">
        <v>226</v>
      </c>
    </row>
    <row r="45" spans="2:3" x14ac:dyDescent="0.3">
      <c r="B45" s="23" t="s">
        <v>226</v>
      </c>
      <c r="C45" s="23" t="s">
        <v>226</v>
      </c>
    </row>
    <row r="47" spans="2:3" x14ac:dyDescent="0.3">
      <c r="B47" s="23" t="s">
        <v>226</v>
      </c>
      <c r="C47" s="23" t="s">
        <v>226</v>
      </c>
    </row>
    <row r="48" spans="2:3" x14ac:dyDescent="0.3">
      <c r="B48" s="23" t="s">
        <v>226</v>
      </c>
      <c r="C48" s="23" t="s">
        <v>226</v>
      </c>
    </row>
    <row r="49" spans="2:3" x14ac:dyDescent="0.3">
      <c r="B49" s="23" t="s">
        <v>226</v>
      </c>
      <c r="C49" s="23" t="s">
        <v>226</v>
      </c>
    </row>
    <row r="50" spans="2:3" x14ac:dyDescent="0.3">
      <c r="B50" s="23" t="s">
        <v>226</v>
      </c>
      <c r="C50" s="23" t="s">
        <v>226</v>
      </c>
    </row>
  </sheetData>
  <mergeCells count="1">
    <mergeCell ref="B23:I2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VENTAS </vt:lpstr>
      <vt:lpstr>CUMPLIMIENTO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/>
</file>